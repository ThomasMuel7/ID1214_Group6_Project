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MUEL\Desktop\INSA\IF\4A\KTH\ID1214\ID1214_Group6_Project\data\"/>
    </mc:Choice>
  </mc:AlternateContent>
  <xr:revisionPtr revIDLastSave="0" documentId="13_ncr:1_{8657342B-93DC-4B22-B220-D85933F25A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3" i="1" l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4" i="1"/>
  <c r="M13" i="1"/>
  <c r="M12" i="1"/>
  <c r="M11" i="1"/>
  <c r="M10" i="1"/>
  <c r="M9" i="1"/>
  <c r="M8" i="1"/>
  <c r="M7" i="1"/>
  <c r="M6" i="1"/>
  <c r="M5" i="1"/>
  <c r="M4" i="1"/>
  <c r="M3" i="1"/>
  <c r="M2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<sst xmlns="http://schemas.openxmlformats.org/spreadsheetml/2006/main" count="48" uniqueCount="48">
  <si>
    <t>Team</t>
  </si>
  <si>
    <t>Tot</t>
  </si>
  <si>
    <t>R</t>
  </si>
  <si>
    <t>P</t>
  </si>
  <si>
    <t>KR</t>
  </si>
  <si>
    <t>PR</t>
  </si>
  <si>
    <t>IR</t>
  </si>
  <si>
    <t>FR</t>
  </si>
  <si>
    <t>BK</t>
  </si>
  <si>
    <t>BP</t>
  </si>
  <si>
    <t>FGR</t>
  </si>
  <si>
    <t>PAT</t>
  </si>
  <si>
    <t>FG</t>
  </si>
  <si>
    <t>Conv</t>
  </si>
  <si>
    <t>Saf</t>
  </si>
  <si>
    <t>Pts</t>
  </si>
  <si>
    <t>Los Angeles Rams</t>
  </si>
  <si>
    <t>Houston Texans</t>
  </si>
  <si>
    <t>Denver Broncos</t>
  </si>
  <si>
    <t>Kansas City Chiefs</t>
  </si>
  <si>
    <t>Green Bay Packers</t>
  </si>
  <si>
    <t>Seattle Seahawks</t>
  </si>
  <si>
    <t>Philadelphia Eagles</t>
  </si>
  <si>
    <t>New England Patriots</t>
  </si>
  <si>
    <t>Indianapolis Colts</t>
  </si>
  <si>
    <t>Los Angeles Chargers</t>
  </si>
  <si>
    <t>Detroit Lions</t>
  </si>
  <si>
    <t>Cleveland Browns</t>
  </si>
  <si>
    <t>Atlanta Falcons</t>
  </si>
  <si>
    <t>Jacksonville Jaguars</t>
  </si>
  <si>
    <t>Buffalo Bills</t>
  </si>
  <si>
    <t>Minnesota Vikings</t>
  </si>
  <si>
    <t>Baltimore Ravens</t>
  </si>
  <si>
    <t>San Francisco 49ers</t>
  </si>
  <si>
    <t>Pittsburgh Steelers</t>
  </si>
  <si>
    <t>Carolina Panthers</t>
  </si>
  <si>
    <t>Miami Dolphins</t>
  </si>
  <si>
    <t>New Orleans Saints</t>
  </si>
  <si>
    <t>Las Vegas Raiders</t>
  </si>
  <si>
    <t>Arizona Cardinals</t>
  </si>
  <si>
    <t>Tampa Bay Buccaneers</t>
  </si>
  <si>
    <t>New York Jets</t>
  </si>
  <si>
    <t>Chicago Bears</t>
  </si>
  <si>
    <t>Washington Commanders</t>
  </si>
  <si>
    <t>Tennessee Titans</t>
  </si>
  <si>
    <t>Dallas Cowboys</t>
  </si>
  <si>
    <t>New York Giants</t>
  </si>
  <si>
    <t>Cincinnati Bengals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</si>
</sst>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5" x14ac:knownFonts="1">
    <font>
      <sz val="11"/>
      <color theme="1"/>
      <name val="Calibri"/>
      <family val="2"/>
      <scheme val="minor"/>
    </font>
    <font>
      <sz val="8"/>
      <color rgb="FF212529"/>
      <name val="Segoe UI"/>
      <family val="2"/>
    </font>
    <font>
      <b/>
      <sz val="8"/>
      <color rgb="FF000000"/>
      <name val="Segoe UI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EAEAEA"/>
        <bgColor indexed="64"/>
      </patternFill>
    </fill>
  </fills>
  <borders count="9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666666"/>
      </bottom>
      <diagonal/>
    </border>
    <border>
      <left/>
      <right style="medium">
        <color rgb="FFCCCCCC"/>
      </right>
      <top style="medium">
        <color rgb="FFCCCCCC"/>
      </top>
      <bottom style="medium">
        <color rgb="FF666666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/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/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44" fontId="4" fillId="0" borderId="0" applyFont="0" applyFill="0" applyBorder="0" applyAlignment="0" applyProtection="0"/>
  </cellStyleXfs>
  <cellXfs count="21">
    <xf numFmtId="0" fontId="0" fillId="0" borderId="0" xfId="0"/>
    <xf numFmtId="0" fontId="3" fillId="3" borderId="1" xfId="1" applyFill="1" applyBorder="1" applyAlignment="1">
      <alignment horizontal="left" vertical="center" wrapText="1"/>
    </xf>
    <xf numFmtId="0" fontId="3" fillId="3" borderId="2" xfId="1" applyFill="1" applyBorder="1" applyAlignment="1">
      <alignment horizontal="center" vertical="center" wrapText="1"/>
    </xf>
    <xf numFmtId="0" fontId="3" fillId="4" borderId="3" xfId="1" applyFill="1" applyBorder="1" applyAlignment="1">
      <alignment horizontal="left" vertical="center"/>
    </xf>
    <xf numFmtId="0" fontId="1" fillId="4" borderId="4" xfId="0" applyFont="1" applyFill="1" applyBorder="1" applyAlignment="1">
      <alignment horizontal="right" vertical="center" wrapText="1"/>
    </xf>
    <xf numFmtId="0" fontId="2" fillId="5" borderId="4" xfId="0" applyFont="1" applyFill="1" applyBorder="1" applyAlignment="1">
      <alignment horizontal="right" vertical="center" wrapText="1"/>
    </xf>
    <xf numFmtId="0" fontId="3" fillId="2" borderId="5" xfId="1" applyFill="1" applyBorder="1" applyAlignment="1">
      <alignment horizontal="left" vertical="center"/>
    </xf>
    <xf numFmtId="0" fontId="1" fillId="2" borderId="6" xfId="0" applyFont="1" applyFill="1" applyBorder="1" applyAlignment="1">
      <alignment horizontal="right" vertical="center" wrapText="1"/>
    </xf>
    <xf numFmtId="0" fontId="2" fillId="4" borderId="6" xfId="0" applyFont="1" applyFill="1" applyBorder="1" applyAlignment="1">
      <alignment horizontal="right" vertical="center" wrapText="1"/>
    </xf>
    <xf numFmtId="0" fontId="3" fillId="4" borderId="5" xfId="1" applyFill="1" applyBorder="1" applyAlignment="1">
      <alignment horizontal="left" vertical="center"/>
    </xf>
    <xf numFmtId="0" fontId="1" fillId="4" borderId="6" xfId="0" applyFont="1" applyFill="1" applyBorder="1" applyAlignment="1">
      <alignment horizontal="right" vertical="center" wrapText="1"/>
    </xf>
    <xf numFmtId="0" fontId="2" fillId="5" borderId="6" xfId="0" applyFont="1" applyFill="1" applyBorder="1" applyAlignment="1">
      <alignment horizontal="right" vertical="center" wrapText="1"/>
    </xf>
    <xf numFmtId="0" fontId="3" fillId="6" borderId="7" xfId="1" applyFill="1" applyBorder="1" applyAlignment="1">
      <alignment horizontal="left" vertical="center"/>
    </xf>
    <xf numFmtId="0" fontId="1" fillId="6" borderId="8" xfId="0" applyFont="1" applyFill="1" applyBorder="1" applyAlignment="1">
      <alignment horizontal="right" vertical="center" wrapText="1"/>
    </xf>
    <xf numFmtId="0" fontId="2" fillId="7" borderId="8" xfId="0" applyFont="1" applyFill="1" applyBorder="1" applyAlignment="1">
      <alignment horizontal="right" vertical="center" wrapText="1"/>
    </xf>
    <xf numFmtId="2" fontId="1" fillId="2" borderId="6" xfId="0" applyNumberFormat="1" applyFont="1" applyFill="1" applyBorder="1" applyAlignment="1">
      <alignment horizontal="right" vertical="center" wrapText="1"/>
    </xf>
    <xf numFmtId="12" fontId="3" fillId="3" borderId="2" xfId="1" applyNumberFormat="1" applyFill="1" applyBorder="1" applyAlignment="1">
      <alignment horizontal="center" vertical="center" wrapText="1"/>
    </xf>
    <xf numFmtId="2" fontId="1" fillId="4" borderId="4" xfId="0" applyNumberFormat="1" applyFont="1" applyFill="1" applyBorder="1" applyAlignment="1">
      <alignment horizontal="right" vertical="center" wrapText="1"/>
    </xf>
    <xf numFmtId="2" fontId="1" fillId="2" borderId="6" xfId="2" applyNumberFormat="1" applyFont="1" applyFill="1" applyBorder="1" applyAlignment="1">
      <alignment horizontal="right" vertical="center" wrapText="1"/>
    </xf>
    <xf numFmtId="2" fontId="1" fillId="4" borderId="6" xfId="0" applyNumberFormat="1" applyFont="1" applyFill="1" applyBorder="1" applyAlignment="1">
      <alignment horizontal="right" vertical="center" wrapText="1"/>
    </xf>
    <xf numFmtId="2" fontId="1" fillId="6" borderId="8" xfId="0" applyNumberFormat="1" applyFont="1" applyFill="1" applyBorder="1" applyAlignment="1">
      <alignment horizontal="right" vertical="center" wrapText="1"/>
    </xf>
  </cellXfs>
  <cellStyles count="3">
    <cellStyle name="Lien hypertexte" xfId="1" builtinId="8"/>
    <cellStyle name="Monétaire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footballdb.com/statistics/nfl/team-stats/defense-scoring/2025/regular-season?sort=kickfgm" TargetMode="External"/><Relationship Id="rId18" Type="http://schemas.openxmlformats.org/officeDocument/2006/relationships/hyperlink" Target="https://www.footballdb.com/teams/nfl/houston-texans" TargetMode="External"/><Relationship Id="rId26" Type="http://schemas.openxmlformats.org/officeDocument/2006/relationships/hyperlink" Target="https://www.footballdb.com/teams/nfl/los-angeles-chargers" TargetMode="External"/><Relationship Id="rId39" Type="http://schemas.openxmlformats.org/officeDocument/2006/relationships/hyperlink" Target="https://www.footballdb.com/teams/nfl/las-vegas-raiders" TargetMode="External"/><Relationship Id="rId21" Type="http://schemas.openxmlformats.org/officeDocument/2006/relationships/hyperlink" Target="https://www.footballdb.com/teams/nfl/green-bay-packers" TargetMode="External"/><Relationship Id="rId34" Type="http://schemas.openxmlformats.org/officeDocument/2006/relationships/hyperlink" Target="https://www.footballdb.com/teams/nfl/san-francisco-49ers" TargetMode="External"/><Relationship Id="rId42" Type="http://schemas.openxmlformats.org/officeDocument/2006/relationships/hyperlink" Target="https://www.footballdb.com/teams/nfl/new-york-jets" TargetMode="External"/><Relationship Id="rId47" Type="http://schemas.openxmlformats.org/officeDocument/2006/relationships/hyperlink" Target="https://www.footballdb.com/teams/nfl/new-york-giants" TargetMode="External"/><Relationship Id="rId7" Type="http://schemas.openxmlformats.org/officeDocument/2006/relationships/hyperlink" Target="https://www.footballdb.com/statistics/nfl/team-stats/defense-scoring/2025/regular-season?sort=deftds" TargetMode="External"/><Relationship Id="rId2" Type="http://schemas.openxmlformats.org/officeDocument/2006/relationships/hyperlink" Target="https://www.footballdb.com/statistics/nfl/team-stats/defense-scoring/2025/regular-season?sort=tottds" TargetMode="External"/><Relationship Id="rId16" Type="http://schemas.openxmlformats.org/officeDocument/2006/relationships/hyperlink" Target="https://www.footballdb.com/statistics/nfl/team-stats/defense-scoring/2025/regular-season?sort=totpts" TargetMode="External"/><Relationship Id="rId29" Type="http://schemas.openxmlformats.org/officeDocument/2006/relationships/hyperlink" Target="https://www.footballdb.com/teams/nfl/atlanta-falcons" TargetMode="External"/><Relationship Id="rId1" Type="http://schemas.openxmlformats.org/officeDocument/2006/relationships/hyperlink" Target="https://www.footballdb.com/statistics/nfl/team-stats/defense-scoring/2025/regular-season?sort=teamname" TargetMode="External"/><Relationship Id="rId6" Type="http://schemas.openxmlformats.org/officeDocument/2006/relationships/hyperlink" Target="https://www.footballdb.com/statistics/nfl/team-stats/defense-scoring/2025/regular-season?sort=prtds" TargetMode="External"/><Relationship Id="rId11" Type="http://schemas.openxmlformats.org/officeDocument/2006/relationships/hyperlink" Target="https://www.footballdb.com/statistics/nfl/team-stats/defense-scoring/2025/regular-season?sort=nrtds" TargetMode="External"/><Relationship Id="rId24" Type="http://schemas.openxmlformats.org/officeDocument/2006/relationships/hyperlink" Target="https://www.footballdb.com/teams/nfl/new-england-patriots" TargetMode="External"/><Relationship Id="rId32" Type="http://schemas.openxmlformats.org/officeDocument/2006/relationships/hyperlink" Target="https://www.footballdb.com/teams/nfl/minnesota-vikings" TargetMode="External"/><Relationship Id="rId37" Type="http://schemas.openxmlformats.org/officeDocument/2006/relationships/hyperlink" Target="https://www.footballdb.com/teams/nfl/miami-dolphins" TargetMode="External"/><Relationship Id="rId40" Type="http://schemas.openxmlformats.org/officeDocument/2006/relationships/hyperlink" Target="https://www.footballdb.com/teams/nfl/arizona-cardinals" TargetMode="External"/><Relationship Id="rId45" Type="http://schemas.openxmlformats.org/officeDocument/2006/relationships/hyperlink" Target="https://www.footballdb.com/teams/nfl/tennessee-titans" TargetMode="External"/><Relationship Id="rId5" Type="http://schemas.openxmlformats.org/officeDocument/2006/relationships/hyperlink" Target="https://www.footballdb.com/statistics/nfl/team-stats/defense-scoring/2025/regular-season?sort=krtds" TargetMode="External"/><Relationship Id="rId15" Type="http://schemas.openxmlformats.org/officeDocument/2006/relationships/hyperlink" Target="https://www.footballdb.com/statistics/nfl/team-stats/defense-scoring/2025/regular-season?sort=safety" TargetMode="External"/><Relationship Id="rId23" Type="http://schemas.openxmlformats.org/officeDocument/2006/relationships/hyperlink" Target="https://www.footballdb.com/teams/nfl/philadelphia-eagles" TargetMode="External"/><Relationship Id="rId28" Type="http://schemas.openxmlformats.org/officeDocument/2006/relationships/hyperlink" Target="https://www.footballdb.com/teams/nfl/cleveland-browns" TargetMode="External"/><Relationship Id="rId36" Type="http://schemas.openxmlformats.org/officeDocument/2006/relationships/hyperlink" Target="https://www.footballdb.com/teams/nfl/carolina-panthers" TargetMode="External"/><Relationship Id="rId10" Type="http://schemas.openxmlformats.org/officeDocument/2006/relationships/hyperlink" Target="https://www.footballdb.com/statistics/nfl/team-stats/defense-scoring/2025/regular-season?sort=bptds" TargetMode="External"/><Relationship Id="rId19" Type="http://schemas.openxmlformats.org/officeDocument/2006/relationships/hyperlink" Target="https://www.footballdb.com/teams/nfl/denver-broncos" TargetMode="External"/><Relationship Id="rId31" Type="http://schemas.openxmlformats.org/officeDocument/2006/relationships/hyperlink" Target="https://www.footballdb.com/teams/nfl/buffalo-bills" TargetMode="External"/><Relationship Id="rId44" Type="http://schemas.openxmlformats.org/officeDocument/2006/relationships/hyperlink" Target="https://www.footballdb.com/teams/nfl/washington-commanders" TargetMode="External"/><Relationship Id="rId4" Type="http://schemas.openxmlformats.org/officeDocument/2006/relationships/hyperlink" Target="https://www.footballdb.com/statistics/nfl/team-stats/defense-scoring/2025/regular-season?sort=passtds" TargetMode="External"/><Relationship Id="rId9" Type="http://schemas.openxmlformats.org/officeDocument/2006/relationships/hyperlink" Target="https://www.footballdb.com/statistics/nfl/team-stats/defense-scoring/2025/regular-season?sort=bktds" TargetMode="External"/><Relationship Id="rId14" Type="http://schemas.openxmlformats.org/officeDocument/2006/relationships/hyperlink" Target="https://www.footballdb.com/statistics/nfl/team-stats/defense-scoring/2025/regular-season?sort=tot2pt" TargetMode="External"/><Relationship Id="rId22" Type="http://schemas.openxmlformats.org/officeDocument/2006/relationships/hyperlink" Target="https://www.footballdb.com/teams/nfl/seattle-seahawks" TargetMode="External"/><Relationship Id="rId27" Type="http://schemas.openxmlformats.org/officeDocument/2006/relationships/hyperlink" Target="https://www.footballdb.com/teams/nfl/detroit-lions" TargetMode="External"/><Relationship Id="rId30" Type="http://schemas.openxmlformats.org/officeDocument/2006/relationships/hyperlink" Target="https://www.footballdb.com/teams/nfl/jacksonville-jaguars" TargetMode="External"/><Relationship Id="rId35" Type="http://schemas.openxmlformats.org/officeDocument/2006/relationships/hyperlink" Target="https://www.footballdb.com/teams/nfl/pittsburgh-steelers" TargetMode="External"/><Relationship Id="rId43" Type="http://schemas.openxmlformats.org/officeDocument/2006/relationships/hyperlink" Target="https://www.footballdb.com/teams/nfl/chicago-bears" TargetMode="External"/><Relationship Id="rId48" Type="http://schemas.openxmlformats.org/officeDocument/2006/relationships/hyperlink" Target="https://www.footballdb.com/teams/nfl/cincinnati-bengals" TargetMode="External"/><Relationship Id="rId8" Type="http://schemas.openxmlformats.org/officeDocument/2006/relationships/hyperlink" Target="https://www.footballdb.com/statistics/nfl/team-stats/defense-scoring/2025/regular-season?sort=fumtds" TargetMode="External"/><Relationship Id="rId3" Type="http://schemas.openxmlformats.org/officeDocument/2006/relationships/hyperlink" Target="https://www.footballdb.com/statistics/nfl/team-stats/defense-scoring/2025/regular-season?sort=rushtds" TargetMode="External"/><Relationship Id="rId12" Type="http://schemas.openxmlformats.org/officeDocument/2006/relationships/hyperlink" Target="https://www.footballdb.com/statistics/nfl/team-stats/defense-scoring/2025/regular-season?sort=kickxpm" TargetMode="External"/><Relationship Id="rId17" Type="http://schemas.openxmlformats.org/officeDocument/2006/relationships/hyperlink" Target="https://www.footballdb.com/teams/nfl/los-angeles-rams" TargetMode="External"/><Relationship Id="rId25" Type="http://schemas.openxmlformats.org/officeDocument/2006/relationships/hyperlink" Target="https://www.footballdb.com/teams/nfl/indianapolis-colts" TargetMode="External"/><Relationship Id="rId33" Type="http://schemas.openxmlformats.org/officeDocument/2006/relationships/hyperlink" Target="https://www.footballdb.com/teams/nfl/baltimore-ravens" TargetMode="External"/><Relationship Id="rId38" Type="http://schemas.openxmlformats.org/officeDocument/2006/relationships/hyperlink" Target="https://www.footballdb.com/teams/nfl/new-orleans-saints" TargetMode="External"/><Relationship Id="rId46" Type="http://schemas.openxmlformats.org/officeDocument/2006/relationships/hyperlink" Target="https://www.footballdb.com/teams/nfl/dallas-cowboys" TargetMode="External"/><Relationship Id="rId20" Type="http://schemas.openxmlformats.org/officeDocument/2006/relationships/hyperlink" Target="https://www.footballdb.com/teams/nfl/kansas-city-chiefs" TargetMode="External"/><Relationship Id="rId41" Type="http://schemas.openxmlformats.org/officeDocument/2006/relationships/hyperlink" Target="https://www.footballdb.com/teams/nfl/tampa-bay-buccanee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3"/>
  <sheetViews>
    <sheetView tabSelected="1" topLeftCell="A16" workbookViewId="0">
      <selection activeCell="M34" sqref="M34"/>
    </sheetView>
  </sheetViews>
  <sheetFormatPr baseColWidth="10" defaultColWidth="8.88671875" defaultRowHeight="14.4" x14ac:dyDescent="0.3"/>
  <cols>
    <col min="13" max="13" width="9.109375" bestFit="1" customWidth="1"/>
  </cols>
  <sheetData>
    <row r="1" spans="1:16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6" t="s">
        <v>11</v>
      </c>
      <c r="M1" s="16" t="s">
        <v>12</v>
      </c>
      <c r="N1" s="2" t="s">
        <v>13</v>
      </c>
      <c r="O1" s="2" t="s">
        <v>14</v>
      </c>
      <c r="P1" s="2" t="s">
        <v>15</v>
      </c>
    </row>
    <row r="2" spans="1:16" ht="15" thickBot="1" x14ac:dyDescent="0.35">
      <c r="A2" s="3" t="s">
        <v>16</v>
      </c>
      <c r="B2" s="4">
        <v>18</v>
      </c>
      <c r="C2" s="4">
        <v>4</v>
      </c>
      <c r="D2" s="4">
        <v>13</v>
      </c>
      <c r="E2" s="4">
        <v>0</v>
      </c>
      <c r="F2" s="4">
        <v>0</v>
      </c>
      <c r="G2" s="4">
        <v>0</v>
      </c>
      <c r="H2" s="4">
        <v>0</v>
      </c>
      <c r="I2" s="4">
        <v>1</v>
      </c>
      <c r="J2" s="4">
        <v>0</v>
      </c>
      <c r="K2" s="4">
        <v>0</v>
      </c>
      <c r="L2" s="17">
        <f>14/15</f>
        <v>0.93333333333333335</v>
      </c>
      <c r="M2" s="17">
        <f>19/21</f>
        <v>0.90476190476190477</v>
      </c>
      <c r="N2" s="4">
        <v>0</v>
      </c>
      <c r="O2" s="4">
        <v>0</v>
      </c>
      <c r="P2" s="5">
        <v>179</v>
      </c>
    </row>
    <row r="3" spans="1:16" ht="15" thickBot="1" x14ac:dyDescent="0.35">
      <c r="A3" s="6" t="s">
        <v>17</v>
      </c>
      <c r="B3" s="7">
        <v>21</v>
      </c>
      <c r="C3" s="7">
        <v>9</v>
      </c>
      <c r="D3" s="7">
        <v>10</v>
      </c>
      <c r="E3" s="7">
        <v>1</v>
      </c>
      <c r="F3" s="7">
        <v>1</v>
      </c>
      <c r="G3" s="7">
        <v>0</v>
      </c>
      <c r="H3" s="7">
        <v>0</v>
      </c>
      <c r="I3" s="7">
        <v>0</v>
      </c>
      <c r="J3" s="7">
        <v>0</v>
      </c>
      <c r="K3" s="7">
        <v>0</v>
      </c>
      <c r="L3" s="15">
        <f>16/17</f>
        <v>0.94117647058823528</v>
      </c>
      <c r="M3" s="18">
        <f>0.631578947368421</f>
        <v>0.63157894736842102</v>
      </c>
      <c r="N3" s="7">
        <v>2</v>
      </c>
      <c r="O3" s="7">
        <v>0</v>
      </c>
      <c r="P3" s="8">
        <v>182</v>
      </c>
    </row>
    <row r="4" spans="1:16" ht="15" thickBot="1" x14ac:dyDescent="0.35">
      <c r="A4" s="9" t="s">
        <v>18</v>
      </c>
      <c r="B4" s="10">
        <v>17</v>
      </c>
      <c r="C4" s="10">
        <v>8</v>
      </c>
      <c r="D4" s="10">
        <v>9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9">
        <f>13/16</f>
        <v>0.8125</v>
      </c>
      <c r="M4" s="19">
        <f>25/27</f>
        <v>0.92592592592592593</v>
      </c>
      <c r="N4" s="10">
        <v>0</v>
      </c>
      <c r="O4" s="10">
        <v>1</v>
      </c>
      <c r="P4" s="11">
        <v>192</v>
      </c>
    </row>
    <row r="5" spans="1:16" ht="15" thickBot="1" x14ac:dyDescent="0.35">
      <c r="A5" s="6" t="s">
        <v>19</v>
      </c>
      <c r="B5" s="7">
        <v>22</v>
      </c>
      <c r="C5" s="7">
        <v>10</v>
      </c>
      <c r="D5" s="7">
        <v>11</v>
      </c>
      <c r="E5" s="7">
        <v>0</v>
      </c>
      <c r="F5" s="7">
        <v>0</v>
      </c>
      <c r="G5" s="7">
        <v>1</v>
      </c>
      <c r="H5" s="7">
        <v>0</v>
      </c>
      <c r="I5" s="7">
        <v>0</v>
      </c>
      <c r="J5" s="7">
        <v>0</v>
      </c>
      <c r="K5" s="7">
        <v>0</v>
      </c>
      <c r="L5" s="15">
        <f>21/22</f>
        <v>0.95454545454545459</v>
      </c>
      <c r="M5" s="15">
        <f>16/17</f>
        <v>0.94117647058823528</v>
      </c>
      <c r="N5" s="7">
        <v>0</v>
      </c>
      <c r="O5" s="7">
        <v>0</v>
      </c>
      <c r="P5" s="8">
        <v>201</v>
      </c>
    </row>
    <row r="6" spans="1:16" ht="15" thickBot="1" x14ac:dyDescent="0.35">
      <c r="A6" s="9" t="s">
        <v>20</v>
      </c>
      <c r="B6" s="10">
        <v>21</v>
      </c>
      <c r="C6" s="10">
        <v>8</v>
      </c>
      <c r="D6" s="10">
        <v>13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9">
        <f>16/18</f>
        <v>0.88888888888888884</v>
      </c>
      <c r="M6" s="19">
        <f>18/22</f>
        <v>0.81818181818181823</v>
      </c>
      <c r="N6" s="10">
        <v>2</v>
      </c>
      <c r="O6" s="10">
        <v>0</v>
      </c>
      <c r="P6" s="11">
        <v>202</v>
      </c>
    </row>
    <row r="7" spans="1:16" ht="15" thickBot="1" x14ac:dyDescent="0.35">
      <c r="A7" s="6" t="s">
        <v>21</v>
      </c>
      <c r="B7" s="7">
        <v>25</v>
      </c>
      <c r="C7" s="7">
        <v>7</v>
      </c>
      <c r="D7" s="7">
        <v>16</v>
      </c>
      <c r="E7" s="7">
        <v>0</v>
      </c>
      <c r="F7" s="7">
        <v>1</v>
      </c>
      <c r="G7" s="7">
        <v>0</v>
      </c>
      <c r="H7" s="7">
        <v>1</v>
      </c>
      <c r="I7" s="7">
        <v>0</v>
      </c>
      <c r="J7" s="7">
        <v>0</v>
      </c>
      <c r="K7" s="7">
        <v>0</v>
      </c>
      <c r="L7" s="15">
        <f>19/20</f>
        <v>0.95</v>
      </c>
      <c r="M7" s="15">
        <f>14/18</f>
        <v>0.77777777777777779</v>
      </c>
      <c r="N7" s="7">
        <v>3</v>
      </c>
      <c r="O7" s="7">
        <v>0</v>
      </c>
      <c r="P7" s="8">
        <v>217</v>
      </c>
    </row>
    <row r="8" spans="1:16" ht="15" thickBot="1" x14ac:dyDescent="0.35">
      <c r="A8" s="9" t="s">
        <v>22</v>
      </c>
      <c r="B8" s="10">
        <v>23</v>
      </c>
      <c r="C8" s="10">
        <v>12</v>
      </c>
      <c r="D8" s="10">
        <v>11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9">
        <f>20/22</f>
        <v>0.90909090909090906</v>
      </c>
      <c r="M8" s="19">
        <f>21/26</f>
        <v>0.80769230769230771</v>
      </c>
      <c r="N8" s="10">
        <v>1</v>
      </c>
      <c r="O8" s="10">
        <v>1</v>
      </c>
      <c r="P8" s="11">
        <v>225</v>
      </c>
    </row>
    <row r="9" spans="1:16" ht="15" thickBot="1" x14ac:dyDescent="0.35">
      <c r="A9" s="6" t="s">
        <v>23</v>
      </c>
      <c r="B9" s="7">
        <v>26</v>
      </c>
      <c r="C9" s="7">
        <v>4</v>
      </c>
      <c r="D9" s="7">
        <v>20</v>
      </c>
      <c r="E9" s="7">
        <v>0</v>
      </c>
      <c r="F9" s="7">
        <v>1</v>
      </c>
      <c r="G9" s="7">
        <v>1</v>
      </c>
      <c r="H9" s="7">
        <v>0</v>
      </c>
      <c r="I9" s="7">
        <v>0</v>
      </c>
      <c r="J9" s="7">
        <v>0</v>
      </c>
      <c r="K9" s="7">
        <v>0</v>
      </c>
      <c r="L9" s="15">
        <f>22/24</f>
        <v>0.91666666666666663</v>
      </c>
      <c r="M9" s="15">
        <f>16/19</f>
        <v>0.84210526315789469</v>
      </c>
      <c r="N9" s="7">
        <v>0</v>
      </c>
      <c r="O9" s="7">
        <v>0</v>
      </c>
      <c r="P9" s="8">
        <v>226</v>
      </c>
    </row>
    <row r="10" spans="1:16" ht="15" thickBot="1" x14ac:dyDescent="0.35">
      <c r="A10" s="9" t="s">
        <v>24</v>
      </c>
      <c r="B10" s="10">
        <v>25</v>
      </c>
      <c r="C10" s="10">
        <v>9</v>
      </c>
      <c r="D10" s="10">
        <v>16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9">
        <f>22/22</f>
        <v>1</v>
      </c>
      <c r="M10" s="19">
        <f>17/22</f>
        <v>0.77272727272727271</v>
      </c>
      <c r="N10" s="10">
        <v>3</v>
      </c>
      <c r="O10" s="10">
        <v>0</v>
      </c>
      <c r="P10" s="11">
        <v>229</v>
      </c>
    </row>
    <row r="11" spans="1:16" ht="15" thickBot="1" x14ac:dyDescent="0.35">
      <c r="A11" s="6" t="s">
        <v>25</v>
      </c>
      <c r="B11" s="7">
        <v>26</v>
      </c>
      <c r="C11" s="7">
        <v>14</v>
      </c>
      <c r="D11" s="7">
        <v>10</v>
      </c>
      <c r="E11" s="7">
        <v>0</v>
      </c>
      <c r="F11" s="7">
        <v>1</v>
      </c>
      <c r="G11" s="7">
        <v>1</v>
      </c>
      <c r="H11" s="7">
        <v>0</v>
      </c>
      <c r="I11" s="7">
        <v>0</v>
      </c>
      <c r="J11" s="7">
        <v>0</v>
      </c>
      <c r="K11" s="7">
        <v>0</v>
      </c>
      <c r="L11" s="15">
        <f>21/23</f>
        <v>0.91304347826086951</v>
      </c>
      <c r="M11" s="15">
        <f>19/22</f>
        <v>0.86363636363636365</v>
      </c>
      <c r="N11" s="7">
        <v>2</v>
      </c>
      <c r="O11" s="7">
        <v>0</v>
      </c>
      <c r="P11" s="8">
        <v>238</v>
      </c>
    </row>
    <row r="12" spans="1:16" ht="15" thickBot="1" x14ac:dyDescent="0.35">
      <c r="A12" s="9" t="s">
        <v>26</v>
      </c>
      <c r="B12" s="10">
        <v>29</v>
      </c>
      <c r="C12" s="10">
        <v>8</v>
      </c>
      <c r="D12" s="10">
        <v>21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9">
        <f>24/25</f>
        <v>0.96</v>
      </c>
      <c r="M12" s="19">
        <f>15/16</f>
        <v>0.9375</v>
      </c>
      <c r="N12" s="10">
        <v>0</v>
      </c>
      <c r="O12" s="10">
        <v>0</v>
      </c>
      <c r="P12" s="11">
        <v>243</v>
      </c>
    </row>
    <row r="13" spans="1:16" ht="15" thickBot="1" x14ac:dyDescent="0.35">
      <c r="A13" s="6" t="s">
        <v>27</v>
      </c>
      <c r="B13" s="7">
        <v>26</v>
      </c>
      <c r="C13" s="7">
        <v>5</v>
      </c>
      <c r="D13" s="7">
        <v>17</v>
      </c>
      <c r="E13" s="7">
        <v>1</v>
      </c>
      <c r="F13" s="7">
        <v>2</v>
      </c>
      <c r="G13" s="7">
        <v>0</v>
      </c>
      <c r="H13" s="7">
        <v>1</v>
      </c>
      <c r="I13" s="7">
        <v>0</v>
      </c>
      <c r="J13" s="7">
        <v>0</v>
      </c>
      <c r="K13" s="7">
        <v>0</v>
      </c>
      <c r="L13" s="15">
        <f>26/26</f>
        <v>1</v>
      </c>
      <c r="M13" s="15">
        <f>20/24</f>
        <v>0.83333333333333337</v>
      </c>
      <c r="N13" s="7">
        <v>0</v>
      </c>
      <c r="O13" s="7">
        <v>1</v>
      </c>
      <c r="P13" s="8">
        <v>244</v>
      </c>
    </row>
    <row r="14" spans="1:16" ht="15" thickBot="1" x14ac:dyDescent="0.35">
      <c r="A14" s="9" t="s">
        <v>28</v>
      </c>
      <c r="B14" s="10">
        <v>27</v>
      </c>
      <c r="C14" s="10">
        <v>8</v>
      </c>
      <c r="D14" s="10">
        <v>17</v>
      </c>
      <c r="E14" s="10">
        <v>0</v>
      </c>
      <c r="F14" s="10">
        <v>0</v>
      </c>
      <c r="G14" s="10">
        <v>2</v>
      </c>
      <c r="H14" s="10">
        <v>0</v>
      </c>
      <c r="I14" s="10">
        <v>0</v>
      </c>
      <c r="J14" s="10">
        <v>0</v>
      </c>
      <c r="K14" s="10">
        <v>0</v>
      </c>
      <c r="L14" s="19">
        <f>20/22</f>
        <v>0.90909090909090906</v>
      </c>
      <c r="M14" s="19">
        <f>21/25</f>
        <v>0.84</v>
      </c>
      <c r="N14" s="10">
        <v>2</v>
      </c>
      <c r="O14" s="10">
        <v>0</v>
      </c>
      <c r="P14" s="11">
        <v>249</v>
      </c>
    </row>
    <row r="15" spans="1:16" ht="15" thickBot="1" x14ac:dyDescent="0.35">
      <c r="A15" s="6" t="s">
        <v>29</v>
      </c>
      <c r="B15" s="7">
        <v>31</v>
      </c>
      <c r="C15" s="7">
        <v>7</v>
      </c>
      <c r="D15" s="7">
        <v>22</v>
      </c>
      <c r="E15" s="7">
        <v>0</v>
      </c>
      <c r="F15" s="7">
        <v>0</v>
      </c>
      <c r="G15" s="7">
        <v>0</v>
      </c>
      <c r="H15" s="7">
        <v>2</v>
      </c>
      <c r="I15" s="7">
        <v>0</v>
      </c>
      <c r="J15" s="7">
        <v>0</v>
      </c>
      <c r="K15" s="7">
        <v>0</v>
      </c>
      <c r="L15" s="15">
        <f>24/25</f>
        <v>0.96</v>
      </c>
      <c r="M15" s="15">
        <v>0.8571428571428571</v>
      </c>
      <c r="N15" s="7">
        <v>2</v>
      </c>
      <c r="O15" s="7">
        <v>0</v>
      </c>
      <c r="P15" s="8">
        <v>250</v>
      </c>
    </row>
    <row r="16" spans="1:16" ht="15" thickBot="1" x14ac:dyDescent="0.35">
      <c r="A16" s="9" t="s">
        <v>30</v>
      </c>
      <c r="B16" s="10">
        <v>29</v>
      </c>
      <c r="C16" s="10">
        <v>17</v>
      </c>
      <c r="D16" s="10">
        <v>12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9">
        <f>22/25</f>
        <v>0.88</v>
      </c>
      <c r="M16" s="19">
        <f>18/20</f>
        <v>0.9</v>
      </c>
      <c r="N16" s="10">
        <v>1</v>
      </c>
      <c r="O16" s="10">
        <v>0</v>
      </c>
      <c r="P16" s="11">
        <v>252</v>
      </c>
    </row>
    <row r="17" spans="1:16" ht="15" thickBot="1" x14ac:dyDescent="0.35">
      <c r="A17" s="6" t="s">
        <v>31</v>
      </c>
      <c r="B17" s="7">
        <v>26</v>
      </c>
      <c r="C17" s="7">
        <v>10</v>
      </c>
      <c r="D17" s="7">
        <v>14</v>
      </c>
      <c r="E17" s="7">
        <v>0</v>
      </c>
      <c r="F17" s="7">
        <v>0</v>
      </c>
      <c r="G17" s="7">
        <v>2</v>
      </c>
      <c r="H17" s="7">
        <v>0</v>
      </c>
      <c r="I17" s="7">
        <v>0</v>
      </c>
      <c r="J17" s="7">
        <v>0</v>
      </c>
      <c r="K17" s="7">
        <v>0</v>
      </c>
      <c r="L17" s="15">
        <f>25/25</f>
        <v>1</v>
      </c>
      <c r="M17" s="15">
        <f>24/31</f>
        <v>0.77419354838709675</v>
      </c>
      <c r="N17" s="7">
        <v>1</v>
      </c>
      <c r="O17" s="7">
        <v>0</v>
      </c>
      <c r="P17" s="8">
        <v>255</v>
      </c>
    </row>
    <row r="18" spans="1:16" ht="15" thickBot="1" x14ac:dyDescent="0.35">
      <c r="A18" s="9" t="s">
        <v>32</v>
      </c>
      <c r="B18" s="10">
        <v>28</v>
      </c>
      <c r="C18" s="10">
        <v>11</v>
      </c>
      <c r="D18" s="10">
        <v>16</v>
      </c>
      <c r="E18" s="10">
        <v>0</v>
      </c>
      <c r="F18" s="10">
        <v>0</v>
      </c>
      <c r="G18" s="10">
        <v>1</v>
      </c>
      <c r="H18" s="10">
        <v>0</v>
      </c>
      <c r="I18" s="10">
        <v>0</v>
      </c>
      <c r="J18" s="10">
        <v>0</v>
      </c>
      <c r="K18" s="10">
        <v>0</v>
      </c>
      <c r="L18" s="19">
        <f>24/24</f>
        <v>1</v>
      </c>
      <c r="M18" s="19">
        <f>23/28</f>
        <v>0.8214285714285714</v>
      </c>
      <c r="N18" s="10">
        <v>0</v>
      </c>
      <c r="O18" s="10">
        <v>0</v>
      </c>
      <c r="P18" s="11">
        <v>261</v>
      </c>
    </row>
    <row r="19" spans="1:16" ht="15" thickBot="1" x14ac:dyDescent="0.35">
      <c r="A19" s="6" t="s">
        <v>33</v>
      </c>
      <c r="B19" s="7">
        <v>31</v>
      </c>
      <c r="C19" s="7">
        <v>8</v>
      </c>
      <c r="D19" s="7">
        <v>22</v>
      </c>
      <c r="E19" s="7">
        <v>0</v>
      </c>
      <c r="F19" s="7">
        <v>1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15">
        <f>25/26</f>
        <v>0.96153846153846156</v>
      </c>
      <c r="M19" s="15">
        <f>16/24</f>
        <v>0.66666666666666663</v>
      </c>
      <c r="N19" s="7">
        <v>0</v>
      </c>
      <c r="O19" s="7">
        <v>1</v>
      </c>
      <c r="P19" s="8">
        <v>261</v>
      </c>
    </row>
    <row r="20" spans="1:16" ht="15" thickBot="1" x14ac:dyDescent="0.35">
      <c r="A20" s="9" t="s">
        <v>34</v>
      </c>
      <c r="B20" s="10">
        <v>28</v>
      </c>
      <c r="C20" s="10">
        <v>8</v>
      </c>
      <c r="D20" s="10">
        <v>19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9">
        <f>23/23</f>
        <v>1</v>
      </c>
      <c r="M20" s="19">
        <f>22/26</f>
        <v>0.84615384615384615</v>
      </c>
      <c r="N20" s="10">
        <v>2</v>
      </c>
      <c r="O20" s="10">
        <v>1</v>
      </c>
      <c r="P20" s="11">
        <v>263</v>
      </c>
    </row>
    <row r="21" spans="1:16" ht="15" thickBot="1" x14ac:dyDescent="0.35">
      <c r="A21" s="6" t="s">
        <v>35</v>
      </c>
      <c r="B21" s="7">
        <v>30</v>
      </c>
      <c r="C21" s="7">
        <v>14</v>
      </c>
      <c r="D21" s="7">
        <v>14</v>
      </c>
      <c r="E21" s="7">
        <v>0</v>
      </c>
      <c r="F21" s="7">
        <v>1</v>
      </c>
      <c r="G21" s="7">
        <v>0</v>
      </c>
      <c r="H21" s="7">
        <v>1</v>
      </c>
      <c r="I21" s="7">
        <v>0</v>
      </c>
      <c r="J21" s="7">
        <v>0</v>
      </c>
      <c r="K21" s="7">
        <v>0</v>
      </c>
      <c r="L21" s="15">
        <f>29/30</f>
        <v>0.96666666666666667</v>
      </c>
      <c r="M21" s="15">
        <f>20/23</f>
        <v>0.86956521739130432</v>
      </c>
      <c r="N21" s="7">
        <v>0</v>
      </c>
      <c r="O21" s="7">
        <v>0</v>
      </c>
      <c r="P21" s="8">
        <v>269</v>
      </c>
    </row>
    <row r="22" spans="1:16" ht="15" thickBot="1" x14ac:dyDescent="0.35">
      <c r="A22" s="9" t="s">
        <v>36</v>
      </c>
      <c r="B22" s="10">
        <v>30</v>
      </c>
      <c r="C22" s="10">
        <v>10</v>
      </c>
      <c r="D22" s="10">
        <v>18</v>
      </c>
      <c r="E22" s="10">
        <v>1</v>
      </c>
      <c r="F22" s="10">
        <v>0</v>
      </c>
      <c r="G22" s="10">
        <v>1</v>
      </c>
      <c r="H22" s="10">
        <v>0</v>
      </c>
      <c r="I22" s="10">
        <v>0</v>
      </c>
      <c r="J22" s="10">
        <v>0</v>
      </c>
      <c r="K22" s="10">
        <v>0</v>
      </c>
      <c r="L22" s="19">
        <f>25/27</f>
        <v>0.92592592592592593</v>
      </c>
      <c r="M22" s="19">
        <f>20/23</f>
        <v>0.86956521739130432</v>
      </c>
      <c r="N22" s="10">
        <v>2</v>
      </c>
      <c r="O22" s="10">
        <v>0</v>
      </c>
      <c r="P22" s="11">
        <v>269</v>
      </c>
    </row>
    <row r="23" spans="1:16" ht="15" thickBot="1" x14ac:dyDescent="0.35">
      <c r="A23" s="6" t="s">
        <v>37</v>
      </c>
      <c r="B23" s="7">
        <v>31</v>
      </c>
      <c r="C23" s="7">
        <v>9</v>
      </c>
      <c r="D23" s="7">
        <v>20</v>
      </c>
      <c r="E23" s="7">
        <v>0</v>
      </c>
      <c r="F23" s="7">
        <v>1</v>
      </c>
      <c r="G23" s="7">
        <v>1</v>
      </c>
      <c r="H23" s="7">
        <v>0</v>
      </c>
      <c r="I23" s="7">
        <v>0</v>
      </c>
      <c r="J23" s="7">
        <v>0</v>
      </c>
      <c r="K23" s="7">
        <v>0</v>
      </c>
      <c r="L23" s="15">
        <f>27/29</f>
        <v>0.93103448275862066</v>
      </c>
      <c r="M23" s="15">
        <f>19/22</f>
        <v>0.86363636363636365</v>
      </c>
      <c r="N23" s="7">
        <v>2</v>
      </c>
      <c r="O23" s="7">
        <v>0</v>
      </c>
      <c r="P23" s="8">
        <v>274</v>
      </c>
    </row>
    <row r="24" spans="1:16" ht="15" thickBot="1" x14ac:dyDescent="0.35">
      <c r="A24" s="9" t="s">
        <v>38</v>
      </c>
      <c r="B24" s="10">
        <v>32</v>
      </c>
      <c r="C24" s="10">
        <v>14</v>
      </c>
      <c r="D24" s="10">
        <v>17</v>
      </c>
      <c r="E24" s="10">
        <v>0</v>
      </c>
      <c r="F24" s="10">
        <v>1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9">
        <f>27/27</f>
        <v>1</v>
      </c>
      <c r="M24" s="19">
        <f>18/21</f>
        <v>0.8571428571428571</v>
      </c>
      <c r="N24" s="10">
        <v>1</v>
      </c>
      <c r="O24" s="10">
        <v>1</v>
      </c>
      <c r="P24" s="11">
        <v>277</v>
      </c>
    </row>
    <row r="25" spans="1:16" ht="15" thickBot="1" x14ac:dyDescent="0.35">
      <c r="A25" s="6" t="s">
        <v>39</v>
      </c>
      <c r="B25" s="7">
        <v>31</v>
      </c>
      <c r="C25" s="7">
        <v>11</v>
      </c>
      <c r="D25" s="7">
        <v>16</v>
      </c>
      <c r="E25" s="7">
        <v>0</v>
      </c>
      <c r="F25" s="7">
        <v>0</v>
      </c>
      <c r="G25" s="7">
        <v>0</v>
      </c>
      <c r="H25" s="7">
        <v>3</v>
      </c>
      <c r="I25" s="7">
        <v>0</v>
      </c>
      <c r="J25" s="7">
        <v>1</v>
      </c>
      <c r="K25" s="7">
        <v>0</v>
      </c>
      <c r="L25" s="15">
        <f>25/28</f>
        <v>0.8928571428571429</v>
      </c>
      <c r="M25" s="15">
        <f>24/27</f>
        <v>0.88888888888888884</v>
      </c>
      <c r="N25" s="7">
        <v>0</v>
      </c>
      <c r="O25" s="7">
        <v>0</v>
      </c>
      <c r="P25" s="8">
        <v>283</v>
      </c>
    </row>
    <row r="26" spans="1:16" ht="15" thickBot="1" x14ac:dyDescent="0.35">
      <c r="A26" s="9" t="s">
        <v>40</v>
      </c>
      <c r="B26" s="10">
        <v>34</v>
      </c>
      <c r="C26" s="10">
        <v>12</v>
      </c>
      <c r="D26" s="10">
        <v>19</v>
      </c>
      <c r="E26" s="10">
        <v>0</v>
      </c>
      <c r="F26" s="10">
        <v>0</v>
      </c>
      <c r="G26" s="10">
        <v>1</v>
      </c>
      <c r="H26" s="10">
        <v>0</v>
      </c>
      <c r="I26" s="10">
        <v>1</v>
      </c>
      <c r="J26" s="10">
        <v>1</v>
      </c>
      <c r="K26" s="10">
        <v>0</v>
      </c>
      <c r="L26" s="19">
        <f>32/32</f>
        <v>1</v>
      </c>
      <c r="M26" s="19">
        <f>16/19</f>
        <v>0.84210526315789469</v>
      </c>
      <c r="N26" s="10">
        <v>0</v>
      </c>
      <c r="O26" s="10">
        <v>0</v>
      </c>
      <c r="P26" s="11">
        <v>284</v>
      </c>
    </row>
    <row r="27" spans="1:16" ht="15" thickBot="1" x14ac:dyDescent="0.35">
      <c r="A27" s="6" t="s">
        <v>41</v>
      </c>
      <c r="B27" s="7">
        <v>31</v>
      </c>
      <c r="C27" s="7">
        <v>12</v>
      </c>
      <c r="D27" s="7">
        <v>18</v>
      </c>
      <c r="E27" s="7">
        <v>0</v>
      </c>
      <c r="F27" s="7">
        <v>0</v>
      </c>
      <c r="G27" s="7">
        <v>1</v>
      </c>
      <c r="H27" s="7">
        <v>0</v>
      </c>
      <c r="I27" s="7">
        <v>0</v>
      </c>
      <c r="J27" s="7">
        <v>0</v>
      </c>
      <c r="K27" s="7">
        <v>0</v>
      </c>
      <c r="L27" s="15">
        <f>30/31</f>
        <v>0.967741935483871</v>
      </c>
      <c r="M27" s="15">
        <f>25/27</f>
        <v>0.92592592592592593</v>
      </c>
      <c r="N27" s="7">
        <v>0</v>
      </c>
      <c r="O27" s="7">
        <v>0</v>
      </c>
      <c r="P27" s="8">
        <v>291</v>
      </c>
    </row>
    <row r="28" spans="1:16" ht="15" thickBot="1" x14ac:dyDescent="0.35">
      <c r="A28" s="9" t="s">
        <v>42</v>
      </c>
      <c r="B28" s="10">
        <v>35</v>
      </c>
      <c r="C28" s="10">
        <v>11</v>
      </c>
      <c r="D28" s="10">
        <v>22</v>
      </c>
      <c r="E28" s="10">
        <v>1</v>
      </c>
      <c r="F28" s="10">
        <v>0</v>
      </c>
      <c r="G28" s="10">
        <v>0</v>
      </c>
      <c r="H28" s="10">
        <v>1</v>
      </c>
      <c r="I28" s="10">
        <v>0</v>
      </c>
      <c r="J28" s="10">
        <v>0</v>
      </c>
      <c r="K28" s="10">
        <v>0</v>
      </c>
      <c r="L28" s="19">
        <f>31/31</f>
        <v>1</v>
      </c>
      <c r="M28" s="19">
        <f>15/20</f>
        <v>0.75</v>
      </c>
      <c r="N28" s="10">
        <v>3</v>
      </c>
      <c r="O28" s="10">
        <v>0</v>
      </c>
      <c r="P28" s="11">
        <v>292</v>
      </c>
    </row>
    <row r="29" spans="1:16" ht="15" thickBot="1" x14ac:dyDescent="0.35">
      <c r="A29" s="6" t="s">
        <v>43</v>
      </c>
      <c r="B29" s="7">
        <v>33</v>
      </c>
      <c r="C29" s="7">
        <v>10</v>
      </c>
      <c r="D29" s="7">
        <v>22</v>
      </c>
      <c r="E29" s="7">
        <v>0</v>
      </c>
      <c r="F29" s="7">
        <v>0</v>
      </c>
      <c r="G29" s="7">
        <v>1</v>
      </c>
      <c r="H29" s="7">
        <v>0</v>
      </c>
      <c r="I29" s="7">
        <v>0</v>
      </c>
      <c r="J29" s="7">
        <v>0</v>
      </c>
      <c r="K29" s="7">
        <v>0</v>
      </c>
      <c r="L29" s="15">
        <f>28/29</f>
        <v>0.96551724137931039</v>
      </c>
      <c r="M29" s="15">
        <f>22/24</f>
        <v>0.91666666666666663</v>
      </c>
      <c r="N29" s="7">
        <v>2</v>
      </c>
      <c r="O29" s="7">
        <v>0</v>
      </c>
      <c r="P29" s="8">
        <v>296</v>
      </c>
    </row>
    <row r="30" spans="1:16" ht="15" thickBot="1" x14ac:dyDescent="0.35">
      <c r="A30" s="9" t="s">
        <v>44</v>
      </c>
      <c r="B30" s="10">
        <v>35</v>
      </c>
      <c r="C30" s="10">
        <v>16</v>
      </c>
      <c r="D30" s="10">
        <v>17</v>
      </c>
      <c r="E30" s="10">
        <v>0</v>
      </c>
      <c r="F30" s="10">
        <v>0</v>
      </c>
      <c r="G30" s="10">
        <v>1</v>
      </c>
      <c r="H30" s="10">
        <v>1</v>
      </c>
      <c r="I30" s="10">
        <v>0</v>
      </c>
      <c r="J30" s="10">
        <v>0</v>
      </c>
      <c r="K30" s="10">
        <v>0</v>
      </c>
      <c r="L30" s="19">
        <f>33/34</f>
        <v>0.97058823529411764</v>
      </c>
      <c r="M30" s="19">
        <f>20/22</f>
        <v>0.90909090909090906</v>
      </c>
      <c r="N30" s="10">
        <v>0</v>
      </c>
      <c r="O30" s="10">
        <v>0</v>
      </c>
      <c r="P30" s="11">
        <v>303</v>
      </c>
    </row>
    <row r="31" spans="1:16" ht="15" thickBot="1" x14ac:dyDescent="0.35">
      <c r="A31" s="6" t="s">
        <v>45</v>
      </c>
      <c r="B31" s="7">
        <v>37</v>
      </c>
      <c r="C31" s="7">
        <v>13</v>
      </c>
      <c r="D31" s="7">
        <v>24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15">
        <f>32/33</f>
        <v>0.96969696969696972</v>
      </c>
      <c r="M31" s="15">
        <f>18/19</f>
        <v>0.94736842105263153</v>
      </c>
      <c r="N31" s="7">
        <v>2</v>
      </c>
      <c r="O31" s="7">
        <v>1</v>
      </c>
      <c r="P31" s="8">
        <v>314</v>
      </c>
    </row>
    <row r="32" spans="1:16" ht="15" thickBot="1" x14ac:dyDescent="0.35">
      <c r="A32" s="9" t="s">
        <v>46</v>
      </c>
      <c r="B32" s="10">
        <v>39</v>
      </c>
      <c r="C32" s="10">
        <v>17</v>
      </c>
      <c r="D32" s="10">
        <v>21</v>
      </c>
      <c r="E32" s="10">
        <v>0</v>
      </c>
      <c r="F32" s="10">
        <v>0</v>
      </c>
      <c r="G32" s="10">
        <v>0</v>
      </c>
      <c r="H32" s="10">
        <v>1</v>
      </c>
      <c r="I32" s="10">
        <v>0</v>
      </c>
      <c r="J32" s="10">
        <v>0</v>
      </c>
      <c r="K32" s="10">
        <v>0</v>
      </c>
      <c r="L32" s="19">
        <f>32/35</f>
        <v>0.91428571428571426</v>
      </c>
      <c r="M32" s="19">
        <f>20/24</f>
        <v>0.83333333333333337</v>
      </c>
      <c r="N32" s="10">
        <v>4</v>
      </c>
      <c r="O32" s="10">
        <v>0</v>
      </c>
      <c r="P32" s="11">
        <v>334</v>
      </c>
    </row>
    <row r="33" spans="1:16" ht="15" thickBot="1" x14ac:dyDescent="0.35">
      <c r="A33" s="12" t="s">
        <v>47</v>
      </c>
      <c r="B33" s="13">
        <v>43</v>
      </c>
      <c r="C33" s="13">
        <v>12</v>
      </c>
      <c r="D33" s="13">
        <v>26</v>
      </c>
      <c r="E33" s="13">
        <v>0</v>
      </c>
      <c r="F33" s="13">
        <v>0</v>
      </c>
      <c r="G33" s="13">
        <v>3</v>
      </c>
      <c r="H33" s="13">
        <v>2</v>
      </c>
      <c r="I33" s="13">
        <v>0</v>
      </c>
      <c r="J33" s="13">
        <v>0</v>
      </c>
      <c r="K33" s="13">
        <v>0</v>
      </c>
      <c r="L33" s="20">
        <f>39/40</f>
        <v>0.97499999999999998</v>
      </c>
      <c r="M33" s="20">
        <f>19/21</f>
        <v>0.90476190476190477</v>
      </c>
      <c r="N33" s="13">
        <v>2</v>
      </c>
      <c r="O33" s="13">
        <v>1</v>
      </c>
      <c r="P33" s="14">
        <v>360</v>
      </c>
    </row>
  </sheetData>
  <hyperlinks>
    <hyperlink ref="A1" r:id="rId1" tooltip="Team" display="https://www.footballdb.com/statistics/nfl/team-stats/defense-scoring/2025/regular-season?sort=teamname" xr:uid="{696EF78A-D015-49B0-8C84-B021DFA8E928}"/>
    <hyperlink ref="B1" r:id="rId2" tooltip="Total Touchdowns" display="https://www.footballdb.com/statistics/nfl/team-stats/defense-scoring/2025/regular-season?sort=tottds" xr:uid="{D4B7D00E-21C3-4130-B942-1D309BA38620}"/>
    <hyperlink ref="C1" r:id="rId3" tooltip="Rushing Touchdowns" display="https://www.footballdb.com/statistics/nfl/team-stats/defense-scoring/2025/regular-season?sort=rushtds" xr:uid="{9414EC5F-688A-45AB-937D-721B3E6D2CF6}"/>
    <hyperlink ref="D1" r:id="rId4" tooltip="Passing Touchdowns" display="https://www.footballdb.com/statistics/nfl/team-stats/defense-scoring/2025/regular-season?sort=passtds" xr:uid="{AF70C0E6-2CC1-4B13-BF7D-B0A94FFAA25E}"/>
    <hyperlink ref="E1" r:id="rId5" tooltip="Kickoff Return Touchdowns" display="https://www.footballdb.com/statistics/nfl/team-stats/defense-scoring/2025/regular-season?sort=krtds" xr:uid="{5B73596C-1EE7-4464-A0AD-4E01596E2613}"/>
    <hyperlink ref="F1" r:id="rId6" tooltip="Punt Return Touchdowns" display="https://www.footballdb.com/statistics/nfl/team-stats/defense-scoring/2025/regular-season?sort=prtds" xr:uid="{D4656609-BFD4-45CD-AF2B-6331B4C56BCB}"/>
    <hyperlink ref="G1" r:id="rId7" tooltip="Interception Return Touchdowns" display="https://www.footballdb.com/statistics/nfl/team-stats/defense-scoring/2025/regular-season?sort=deftds" xr:uid="{F322B869-0BB5-4C2C-A8A9-0262CE4AC886}"/>
    <hyperlink ref="H1" r:id="rId8" tooltip="Fumble Return Touchdowns" display="https://www.footballdb.com/statistics/nfl/team-stats/defense-scoring/2025/regular-season?sort=fumtds" xr:uid="{5F6498FB-C343-41BF-AB1C-800A0D8B64AB}"/>
    <hyperlink ref="I1" r:id="rId9" tooltip="Blocked FG Return Touchdowns" display="https://www.footballdb.com/statistics/nfl/team-stats/defense-scoring/2025/regular-season?sort=bktds" xr:uid="{9CC3AD29-86C7-426E-8F44-AD3071F93AA3}"/>
    <hyperlink ref="J1" r:id="rId10" tooltip="Blocked Punt Return Touchdowns" display="https://www.footballdb.com/statistics/nfl/team-stats/defense-scoring/2025/regular-season?sort=bptds" xr:uid="{E20282DB-6947-4404-95FF-97BF777F9392}"/>
    <hyperlink ref="K1" r:id="rId11" tooltip="Missed FG Return Touchdowns" display="https://www.footballdb.com/statistics/nfl/team-stats/defense-scoring/2025/regular-season?sort=nrtds" xr:uid="{C5621352-AFEB-4F78-B6D8-2967518EF6FA}"/>
    <hyperlink ref="L1" r:id="rId12" tooltip="Points After Touchdown" display="https://www.footballdb.com/statistics/nfl/team-stats/defense-scoring/2025/regular-season?sort=kickxpm" xr:uid="{CDD07CEA-3A5A-4E4A-AED9-5545B8A0A97D}"/>
    <hyperlink ref="M1" r:id="rId13" tooltip="Field Goals" display="https://www.footballdb.com/statistics/nfl/team-stats/defense-scoring/2025/regular-season?sort=kickfgm" xr:uid="{3A73C2C6-9273-413C-B75C-7275D1DC9860}"/>
    <hyperlink ref="N1" r:id="rId14" tooltip="Two-Point Conversions" display="https://www.footballdb.com/statistics/nfl/team-stats/defense-scoring/2025/regular-season?sort=tot2pt" xr:uid="{AD156788-39EE-4115-9E1D-445F3A79D44D}"/>
    <hyperlink ref="O1" r:id="rId15" tooltip="Safeties" display="https://www.footballdb.com/statistics/nfl/team-stats/defense-scoring/2025/regular-season?sort=safety" xr:uid="{99B7AF7D-CCD9-439A-8353-B8F5853F00A2}"/>
    <hyperlink ref="P1" r:id="rId16" tooltip="Total Points" display="https://www.footballdb.com/statistics/nfl/team-stats/defense-scoring/2025/regular-season?sort=totpts" xr:uid="{2A09733E-18A0-4028-B680-0C7D80E8B317}"/>
    <hyperlink ref="A2" r:id="rId17" tooltip="Los Angeles Rams Statistics" display="https://www.footballdb.com/teams/nfl/los-angeles-rams" xr:uid="{21B690DE-5EA2-4382-80BE-596CF8B4516E}"/>
    <hyperlink ref="A3" r:id="rId18" tooltip="Houston Texans Statistics" display="https://www.footballdb.com/teams/nfl/houston-texans" xr:uid="{E2FBB41B-8CC5-4741-BBBE-7CBA6C685907}"/>
    <hyperlink ref="A4" r:id="rId19" tooltip="Denver Broncos Statistics" display="https://www.footballdb.com/teams/nfl/denver-broncos" xr:uid="{15D4CB73-E037-4DFE-9449-0B4B5350A5A5}"/>
    <hyperlink ref="A5" r:id="rId20" tooltip="Kansas City Chiefs Statistics" display="https://www.footballdb.com/teams/nfl/kansas-city-chiefs" xr:uid="{9B0BA5E8-47A5-4E70-8774-B62A198F3846}"/>
    <hyperlink ref="A6" r:id="rId21" tooltip="Green Bay Packers Statistics" display="https://www.footballdb.com/teams/nfl/green-bay-packers" xr:uid="{CCD8AF19-9D22-4C21-9660-77EDFA5FFBFC}"/>
    <hyperlink ref="A7" r:id="rId22" tooltip="Seattle Seahawks Statistics" display="https://www.footballdb.com/teams/nfl/seattle-seahawks" xr:uid="{F98818BA-2D6A-4A90-A9BE-897E698D18B5}"/>
    <hyperlink ref="A8" r:id="rId23" tooltip="Philadelphia Eagles Statistics" display="https://www.footballdb.com/teams/nfl/philadelphia-eagles" xr:uid="{17312B93-AD16-41AB-B5A9-D70449E38EB4}"/>
    <hyperlink ref="A9" r:id="rId24" tooltip="New England Patriots Statistics" display="https://www.footballdb.com/teams/nfl/new-england-patriots" xr:uid="{AAEFE502-EC47-422F-ACB6-416FDEA0E9A8}"/>
    <hyperlink ref="A10" r:id="rId25" tooltip="Indianapolis Colts Statistics" display="https://www.footballdb.com/teams/nfl/indianapolis-colts" xr:uid="{FE1D9D2F-6519-4FA2-B16C-C3766E414E8C}"/>
    <hyperlink ref="A11" r:id="rId26" tooltip="Los Angeles Chargers Statistics" display="https://www.footballdb.com/teams/nfl/los-angeles-chargers" xr:uid="{F59C9754-84DE-47DC-A9B8-B67BE076E9CC}"/>
    <hyperlink ref="A12" r:id="rId27" tooltip="Detroit Lions Statistics" display="https://www.footballdb.com/teams/nfl/detroit-lions" xr:uid="{B981FE9C-9C8C-4F89-863C-72107B82D45C}"/>
    <hyperlink ref="A13" r:id="rId28" tooltip="Cleveland Browns Statistics" display="https://www.footballdb.com/teams/nfl/cleveland-browns" xr:uid="{30120011-935B-40AF-A877-7FEDC941062A}"/>
    <hyperlink ref="A14" r:id="rId29" tooltip="Atlanta Falcons Statistics" display="https://www.footballdb.com/teams/nfl/atlanta-falcons" xr:uid="{86E3BAD8-CFD3-4515-97ED-7A61CA29591F}"/>
    <hyperlink ref="A15" r:id="rId30" tooltip="Jacksonville Jaguars Statistics" display="https://www.footballdb.com/teams/nfl/jacksonville-jaguars" xr:uid="{7FF30676-E81E-4C49-A2CE-9C2FC5D63B2D}"/>
    <hyperlink ref="A16" r:id="rId31" tooltip="Buffalo Bills Statistics" display="https://www.footballdb.com/teams/nfl/buffalo-bills" xr:uid="{79C21F42-D403-4F6D-8380-C5066382BEAD}"/>
    <hyperlink ref="A17" r:id="rId32" tooltip="Minnesota Vikings Statistics" display="https://www.footballdb.com/teams/nfl/minnesota-vikings" xr:uid="{9236C0B6-1F60-4775-B0F9-C24C3E02903C}"/>
    <hyperlink ref="A18" r:id="rId33" tooltip="Baltimore Ravens Statistics" display="https://www.footballdb.com/teams/nfl/baltimore-ravens" xr:uid="{5844EA01-FA70-46D9-A1DA-2158112BFB95}"/>
    <hyperlink ref="A19" r:id="rId34" tooltip="San Francisco 49ers Statistics" display="https://www.footballdb.com/teams/nfl/san-francisco-49ers" xr:uid="{3F207611-3283-40FE-8181-4823EBCE46BC}"/>
    <hyperlink ref="A20" r:id="rId35" tooltip="Pittsburgh Steelers Statistics" display="https://www.footballdb.com/teams/nfl/pittsburgh-steelers" xr:uid="{F5B3B5D7-D68F-4971-AFB7-B73D8567D233}"/>
    <hyperlink ref="A21" r:id="rId36" tooltip="Carolina Panthers Statistics" display="https://www.footballdb.com/teams/nfl/carolina-panthers" xr:uid="{69DC3832-9FBC-4A72-A61A-2A7DC9DA2640}"/>
    <hyperlink ref="A22" r:id="rId37" tooltip="Miami Dolphins Statistics" display="https://www.footballdb.com/teams/nfl/miami-dolphins" xr:uid="{96BB1B08-2B4B-465F-BE34-74F0114CB1BD}"/>
    <hyperlink ref="A23" r:id="rId38" tooltip="New Orleans Saints Statistics" display="https://www.footballdb.com/teams/nfl/new-orleans-saints" xr:uid="{F5C908DA-A850-4966-A05B-C599AF64857F}"/>
    <hyperlink ref="A24" r:id="rId39" tooltip="Las Vegas Raiders Statistics" display="https://www.footballdb.com/teams/nfl/las-vegas-raiders" xr:uid="{2739079F-55FA-4D7A-9334-793F7908BBB8}"/>
    <hyperlink ref="A25" r:id="rId40" tooltip="Arizona Cardinals Statistics" display="https://www.footballdb.com/teams/nfl/arizona-cardinals" xr:uid="{FE5C326E-6C9B-4944-89D0-8E9E7E341C51}"/>
    <hyperlink ref="A26" r:id="rId41" tooltip="Tampa Bay Buccaneers Statistics" display="https://www.footballdb.com/teams/nfl/tampa-bay-buccaneers" xr:uid="{E01B01E7-1505-4026-BD75-64F5C7CDA9AC}"/>
    <hyperlink ref="A27" r:id="rId42" tooltip="New York Jets Statistics" display="https://www.footballdb.com/teams/nfl/new-york-jets" xr:uid="{2CA69CDE-9FFA-465B-9C8B-CACC9FB605FE}"/>
    <hyperlink ref="A28" r:id="rId43" tooltip="Chicago Bears Statistics" display="https://www.footballdb.com/teams/nfl/chicago-bears" xr:uid="{5C4C75AB-9B17-4136-BE2F-53B21A630CB7}"/>
    <hyperlink ref="A29" r:id="rId44" tooltip="Washington Commanders Statistics" display="https://www.footballdb.com/teams/nfl/washington-commanders" xr:uid="{0AE0368A-BDAE-42A2-9901-E944D41C6E46}"/>
    <hyperlink ref="A30" r:id="rId45" tooltip="Tennessee Titans Statistics" display="https://www.footballdb.com/teams/nfl/tennessee-titans" xr:uid="{A4E2F337-78C8-4639-BC58-020480B4C44A}"/>
    <hyperlink ref="A31" r:id="rId46" tooltip="Dallas Cowboys Statistics" display="https://www.footballdb.com/teams/nfl/dallas-cowboys" xr:uid="{BBE7995F-8875-447F-8B9A-A9841ADB65FE}"/>
    <hyperlink ref="A32" r:id="rId47" tooltip="New York Giants Statistics" display="https://www.footballdb.com/teams/nfl/new-york-giants" xr:uid="{44E79A5D-2FD3-446E-9FE4-2E3A58210531}"/>
    <hyperlink ref="A33" r:id="rId48" tooltip="Cincinnati Bengals Statistics" display="https://www.footballdb.com/teams/nfl/cincinnati-bengals" xr:uid="{700C5BB3-5F58-4875-A012-3FAF69023C0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MUEL</dc:creator>
  <cp:lastModifiedBy>Thomas Muel</cp:lastModifiedBy>
  <dcterms:created xsi:type="dcterms:W3CDTF">2015-06-05T18:19:34Z</dcterms:created>
  <dcterms:modified xsi:type="dcterms:W3CDTF">2025-11-25T15:51:40Z</dcterms:modified>
</cp:coreProperties>
</file>