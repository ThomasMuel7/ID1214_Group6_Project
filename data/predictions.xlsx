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494D101A-858E-4813-B510-447D2316B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" i="1" l="1"/>
  <c r="N8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2" i="1"/>
  <c r="N2" i="1" s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M2" i="1"/>
  <c r="L2" i="1"/>
  <c r="L80" i="1" l="1"/>
  <c r="M80" i="1"/>
</calcChain>
</file>

<file path=xl/sharedStrings.xml><?xml version="1.0" encoding="utf-8"?>
<sst xmlns="http://schemas.openxmlformats.org/spreadsheetml/2006/main" count="171" uniqueCount="47">
  <si>
    <t>Home</t>
  </si>
  <si>
    <t>Visitor</t>
  </si>
  <si>
    <t>Model1_Home_win</t>
  </si>
  <si>
    <t>Model1_home_win_probability</t>
  </si>
  <si>
    <t>Model2_Home_win</t>
  </si>
  <si>
    <t>Model2_home_win_probability</t>
  </si>
  <si>
    <t>Model3_Home_win</t>
  </si>
  <si>
    <t>Model3_home_win_probability</t>
  </si>
  <si>
    <t>Detroit Lions</t>
  </si>
  <si>
    <t>Green Bay Packers</t>
  </si>
  <si>
    <t>Dallas Cowboys</t>
  </si>
  <si>
    <t>Kansas City Chiefs</t>
  </si>
  <si>
    <t>Baltimore Ravens</t>
  </si>
  <si>
    <t>Cincinnati Bengals</t>
  </si>
  <si>
    <t>Philadelphia Eagles</t>
  </si>
  <si>
    <t>Chicago Bears</t>
  </si>
  <si>
    <t>Tennessee Titans</t>
  </si>
  <si>
    <t>Jacksonville Jaguars</t>
  </si>
  <si>
    <t>Indianapolis Colts</t>
  </si>
  <si>
    <t>Houston Texans</t>
  </si>
  <si>
    <t>Miami Dolphins</t>
  </si>
  <si>
    <t>New Orleans Saints</t>
  </si>
  <si>
    <t>New York Jets</t>
  </si>
  <si>
    <t>Atlanta Falcons</t>
  </si>
  <si>
    <t>Tampa Bay Buccaneers</t>
  </si>
  <si>
    <t>Arizona Cardinals</t>
  </si>
  <si>
    <t>Carolina Panthers</t>
  </si>
  <si>
    <t>Los Angeles Rams</t>
  </si>
  <si>
    <t>Cleveland Browns</t>
  </si>
  <si>
    <t>San Francisco 49ers</t>
  </si>
  <si>
    <t>Seattle Seahawks</t>
  </si>
  <si>
    <t>Minnesota Vikings</t>
  </si>
  <si>
    <t>Los Angeles Chargers</t>
  </si>
  <si>
    <t>Las Vegas Raiders</t>
  </si>
  <si>
    <t>Pittsburgh Steelers</t>
  </si>
  <si>
    <t>Buffalo Bills</t>
  </si>
  <si>
    <t>Washington Commanders</t>
  </si>
  <si>
    <t>Denver Broncos</t>
  </si>
  <si>
    <t>New England Patriots</t>
  </si>
  <si>
    <t>New York Giants</t>
  </si>
  <si>
    <t>outcome</t>
  </si>
  <si>
    <t>model1</t>
  </si>
  <si>
    <t>model2</t>
  </si>
  <si>
    <t>model3</t>
  </si>
  <si>
    <t>Model4_Home_win</t>
  </si>
  <si>
    <t>Model4_home_win_probability</t>
  </si>
  <si>
    <t>model4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</si>
</sst>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zoomScale="85" zoomScaleNormal="85" workbookViewId="0">
      <selection activeCell="O72" sqref="O72"/>
    </sheetView>
  </sheetViews>
  <sheetFormatPr baseColWidth="10" defaultColWidth="8.88671875" defaultRowHeight="14.4" x14ac:dyDescent="0.3"/>
  <cols>
    <col min="8" max="10" width="30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44</v>
      </c>
      <c r="J1" s="1" t="s">
        <v>45</v>
      </c>
      <c r="K1" s="2" t="s">
        <v>40</v>
      </c>
      <c r="L1" s="2" t="s">
        <v>41</v>
      </c>
      <c r="M1" s="2" t="s">
        <v>42</v>
      </c>
      <c r="N1" s="2" t="s">
        <v>43</v>
      </c>
      <c r="O1" s="3" t="s">
        <v>46</v>
      </c>
    </row>
    <row r="2" spans="1:15" x14ac:dyDescent="0.3">
      <c r="A2" t="s">
        <v>8</v>
      </c>
      <c r="B2" t="s">
        <v>9</v>
      </c>
      <c r="C2">
        <v>0</v>
      </c>
      <c r="D2">
        <v>0.43521595001220698</v>
      </c>
      <c r="E2">
        <v>0</v>
      </c>
      <c r="F2">
        <v>0.46379014849662781</v>
      </c>
      <c r="G2">
        <v>1</v>
      </c>
      <c r="H2">
        <v>0.62836050987243652</v>
      </c>
      <c r="I2">
        <v>1</v>
      </c>
      <c r="J2">
        <v>0.88891971111297607</v>
      </c>
      <c r="K2">
        <v>0</v>
      </c>
      <c r="L2">
        <f>ABS(ABS(K2-C2)-1)</f>
        <v>1</v>
      </c>
      <c r="M2">
        <f>ABS(ABS(E2-K2)-1)</f>
        <v>1</v>
      </c>
      <c r="N2">
        <f>O2</f>
        <v>0</v>
      </c>
      <c r="O2">
        <f>ABS(ABS(I2-K2)-1)</f>
        <v>0</v>
      </c>
    </row>
    <row r="3" spans="1:15" x14ac:dyDescent="0.3">
      <c r="A3" t="s">
        <v>10</v>
      </c>
      <c r="B3" t="s">
        <v>11</v>
      </c>
      <c r="C3">
        <v>0</v>
      </c>
      <c r="D3">
        <v>0.44156074523925781</v>
      </c>
      <c r="E3">
        <v>0</v>
      </c>
      <c r="F3">
        <v>0.41949394345283508</v>
      </c>
      <c r="G3">
        <v>0</v>
      </c>
      <c r="H3">
        <v>0.48472034931182861</v>
      </c>
      <c r="I3">
        <v>1</v>
      </c>
      <c r="J3">
        <v>0.72807538509368896</v>
      </c>
      <c r="K3">
        <v>1</v>
      </c>
      <c r="L3">
        <f>ABS(ABS(K3-C3)-1)</f>
        <v>0</v>
      </c>
      <c r="M3">
        <f>ABS(ABS(E3-K3)-1)</f>
        <v>0</v>
      </c>
      <c r="N3">
        <f>ABS(ABS(G3-K3)-1)</f>
        <v>0</v>
      </c>
      <c r="O3">
        <f t="shared" ref="O3:O66" si="0">ABS(ABS(I3-K3)-1)</f>
        <v>1</v>
      </c>
    </row>
    <row r="4" spans="1:15" x14ac:dyDescent="0.3">
      <c r="A4" t="s">
        <v>12</v>
      </c>
      <c r="B4" t="s">
        <v>13</v>
      </c>
      <c r="C4">
        <v>1</v>
      </c>
      <c r="D4">
        <v>0.93717455863952637</v>
      </c>
      <c r="E4">
        <v>1</v>
      </c>
      <c r="F4">
        <v>0.73293852806091309</v>
      </c>
      <c r="G4">
        <v>1</v>
      </c>
      <c r="H4">
        <v>0.87758147716522217</v>
      </c>
      <c r="I4">
        <v>1</v>
      </c>
      <c r="J4">
        <v>0.66299360990524292</v>
      </c>
      <c r="K4">
        <v>0</v>
      </c>
      <c r="L4">
        <f>ABS(ABS(K4-C4)-1)</f>
        <v>0</v>
      </c>
      <c r="M4">
        <f>ABS(ABS(E4-K4)-1)</f>
        <v>0</v>
      </c>
      <c r="N4">
        <f>ABS(ABS(G4-K4)-1)</f>
        <v>0</v>
      </c>
      <c r="O4">
        <f t="shared" si="0"/>
        <v>0</v>
      </c>
    </row>
    <row r="5" spans="1:15" x14ac:dyDescent="0.3">
      <c r="A5" t="s">
        <v>14</v>
      </c>
      <c r="B5" t="s">
        <v>15</v>
      </c>
      <c r="C5">
        <v>1</v>
      </c>
      <c r="D5">
        <v>0.79566633701324463</v>
      </c>
      <c r="E5">
        <v>1</v>
      </c>
      <c r="F5">
        <v>0.86897575855255127</v>
      </c>
      <c r="G5">
        <v>1</v>
      </c>
      <c r="H5">
        <v>0.57466822862625122</v>
      </c>
      <c r="I5">
        <v>0</v>
      </c>
      <c r="J5">
        <v>0.30182605981826782</v>
      </c>
      <c r="K5">
        <v>0</v>
      </c>
      <c r="L5">
        <f>ABS(ABS(K5-C5)-1)</f>
        <v>0</v>
      </c>
      <c r="M5">
        <f>ABS(ABS(E5-K5)-1)</f>
        <v>0</v>
      </c>
      <c r="N5">
        <f>ABS(ABS(G5-K5)-1)</f>
        <v>0</v>
      </c>
      <c r="O5">
        <f t="shared" si="0"/>
        <v>1</v>
      </c>
    </row>
    <row r="6" spans="1:15" x14ac:dyDescent="0.3">
      <c r="A6" t="s">
        <v>16</v>
      </c>
      <c r="B6" t="s">
        <v>17</v>
      </c>
      <c r="C6">
        <v>0</v>
      </c>
      <c r="D6">
        <v>0.1046088263392448</v>
      </c>
      <c r="E6">
        <v>0</v>
      </c>
      <c r="F6">
        <v>0.2760082483291626</v>
      </c>
      <c r="G6">
        <v>0</v>
      </c>
      <c r="H6">
        <v>0.2362104207277298</v>
      </c>
      <c r="I6">
        <v>0</v>
      </c>
      <c r="J6">
        <v>0.10076881945133211</v>
      </c>
      <c r="K6">
        <v>0</v>
      </c>
      <c r="L6">
        <f>ABS(ABS(K6-C6)-1)</f>
        <v>1</v>
      </c>
      <c r="M6">
        <f>ABS(ABS(E6-K6)-1)</f>
        <v>1</v>
      </c>
      <c r="N6">
        <f>ABS(ABS(G6-K6)-1)</f>
        <v>1</v>
      </c>
      <c r="O6">
        <f t="shared" si="0"/>
        <v>1</v>
      </c>
    </row>
    <row r="7" spans="1:15" x14ac:dyDescent="0.3">
      <c r="A7" t="s">
        <v>18</v>
      </c>
      <c r="B7" t="s">
        <v>19</v>
      </c>
      <c r="C7">
        <v>1</v>
      </c>
      <c r="D7">
        <v>0.82720130681991577</v>
      </c>
      <c r="E7">
        <v>1</v>
      </c>
      <c r="F7">
        <v>0.78923219442367554</v>
      </c>
      <c r="G7">
        <v>1</v>
      </c>
      <c r="H7">
        <v>0.82275581359863281</v>
      </c>
      <c r="I7">
        <v>1</v>
      </c>
      <c r="J7">
        <v>0.79446053504943848</v>
      </c>
      <c r="K7">
        <v>0</v>
      </c>
      <c r="L7">
        <f>ABS(ABS(K7-C7)-1)</f>
        <v>0</v>
      </c>
      <c r="M7">
        <f>ABS(ABS(E7-K7)-1)</f>
        <v>0</v>
      </c>
      <c r="N7">
        <f>ABS(ABS(G7-K7)-1)</f>
        <v>0</v>
      </c>
      <c r="O7">
        <f t="shared" si="0"/>
        <v>0</v>
      </c>
    </row>
    <row r="8" spans="1:15" x14ac:dyDescent="0.3">
      <c r="A8" t="s">
        <v>20</v>
      </c>
      <c r="B8" t="s">
        <v>21</v>
      </c>
      <c r="C8">
        <v>1</v>
      </c>
      <c r="D8">
        <v>0.82160496711730957</v>
      </c>
      <c r="E8">
        <v>1</v>
      </c>
      <c r="F8">
        <v>0.67725193500518799</v>
      </c>
      <c r="G8">
        <v>1</v>
      </c>
      <c r="H8">
        <v>0.63333648443222046</v>
      </c>
      <c r="I8">
        <v>1</v>
      </c>
      <c r="J8">
        <v>0.50744068622589111</v>
      </c>
      <c r="K8">
        <v>1</v>
      </c>
      <c r="L8">
        <f>ABS(ABS(K8-C8)-1)</f>
        <v>1</v>
      </c>
      <c r="M8">
        <f>ABS(ABS(E8-K8)-1)</f>
        <v>1</v>
      </c>
      <c r="N8">
        <f>ABS(ABS(G8-K8)-1)</f>
        <v>1</v>
      </c>
      <c r="O8">
        <f t="shared" si="0"/>
        <v>1</v>
      </c>
    </row>
    <row r="9" spans="1:15" x14ac:dyDescent="0.3">
      <c r="A9" t="s">
        <v>22</v>
      </c>
      <c r="B9" t="s">
        <v>23</v>
      </c>
      <c r="C9">
        <v>0</v>
      </c>
      <c r="D9">
        <v>0.39202108979225159</v>
      </c>
      <c r="E9">
        <v>0</v>
      </c>
      <c r="F9">
        <v>0.44507583975791931</v>
      </c>
      <c r="G9">
        <v>1</v>
      </c>
      <c r="H9">
        <v>0.54127317667007446</v>
      </c>
      <c r="I9">
        <v>1</v>
      </c>
      <c r="J9">
        <v>0.68469870090484619</v>
      </c>
      <c r="K9">
        <v>1</v>
      </c>
      <c r="L9">
        <f>ABS(ABS(K9-C9)-1)</f>
        <v>0</v>
      </c>
      <c r="M9">
        <f>ABS(ABS(E9-K9)-1)</f>
        <v>0</v>
      </c>
      <c r="N9">
        <f>ABS(ABS(G9-K9)-1)</f>
        <v>1</v>
      </c>
      <c r="O9">
        <f t="shared" si="0"/>
        <v>1</v>
      </c>
    </row>
    <row r="10" spans="1:15" x14ac:dyDescent="0.3">
      <c r="A10" t="s">
        <v>24</v>
      </c>
      <c r="B10" t="s">
        <v>25</v>
      </c>
      <c r="C10">
        <v>1</v>
      </c>
      <c r="D10">
        <v>0.62761127948760986</v>
      </c>
      <c r="E10">
        <v>1</v>
      </c>
      <c r="F10">
        <v>0.60653096437454224</v>
      </c>
      <c r="G10">
        <v>1</v>
      </c>
      <c r="H10">
        <v>0.6161576509475708</v>
      </c>
      <c r="I10">
        <v>1</v>
      </c>
      <c r="J10">
        <v>0.66711604595184326</v>
      </c>
      <c r="K10">
        <v>1</v>
      </c>
      <c r="L10">
        <f>ABS(ABS(K10-C10)-1)</f>
        <v>1</v>
      </c>
      <c r="M10">
        <f>ABS(ABS(E10-K10)-1)</f>
        <v>1</v>
      </c>
      <c r="N10">
        <f>ABS(ABS(G10-K10)-1)</f>
        <v>1</v>
      </c>
      <c r="O10">
        <f t="shared" si="0"/>
        <v>1</v>
      </c>
    </row>
    <row r="11" spans="1:15" x14ac:dyDescent="0.3">
      <c r="A11" t="s">
        <v>26</v>
      </c>
      <c r="B11" t="s">
        <v>27</v>
      </c>
      <c r="C11">
        <v>0</v>
      </c>
      <c r="D11">
        <v>0.26056736707687378</v>
      </c>
      <c r="E11">
        <v>0</v>
      </c>
      <c r="F11">
        <v>0.40025874972343439</v>
      </c>
      <c r="G11">
        <v>0</v>
      </c>
      <c r="H11">
        <v>0.27683961391448969</v>
      </c>
      <c r="I11">
        <v>0</v>
      </c>
      <c r="J11">
        <v>0.39900019764900208</v>
      </c>
      <c r="K11">
        <v>1</v>
      </c>
      <c r="L11">
        <f>ABS(ABS(K11-C11)-1)</f>
        <v>0</v>
      </c>
      <c r="M11">
        <f>ABS(ABS(E11-K11)-1)</f>
        <v>0</v>
      </c>
      <c r="N11">
        <f>ABS(ABS(G11-K11)-1)</f>
        <v>0</v>
      </c>
      <c r="O11">
        <f t="shared" si="0"/>
        <v>0</v>
      </c>
    </row>
    <row r="12" spans="1:15" x14ac:dyDescent="0.3">
      <c r="A12" t="s">
        <v>28</v>
      </c>
      <c r="B12" t="s">
        <v>29</v>
      </c>
      <c r="C12">
        <v>0</v>
      </c>
      <c r="D12">
        <v>0.2239153981208801</v>
      </c>
      <c r="E12">
        <v>0</v>
      </c>
      <c r="F12">
        <v>0.38683813810348511</v>
      </c>
      <c r="G12">
        <v>0</v>
      </c>
      <c r="H12">
        <v>0.4402623176574707</v>
      </c>
      <c r="I12">
        <v>0</v>
      </c>
      <c r="J12">
        <v>0.15046918392181399</v>
      </c>
      <c r="K12">
        <v>0</v>
      </c>
      <c r="L12">
        <f>ABS(ABS(K12-C12)-1)</f>
        <v>1</v>
      </c>
      <c r="M12">
        <f>ABS(ABS(E12-K12)-1)</f>
        <v>1</v>
      </c>
      <c r="N12">
        <f>ABS(ABS(G12-K12)-1)</f>
        <v>1</v>
      </c>
      <c r="O12">
        <f t="shared" si="0"/>
        <v>1</v>
      </c>
    </row>
    <row r="13" spans="1:15" x14ac:dyDescent="0.3">
      <c r="A13" t="s">
        <v>30</v>
      </c>
      <c r="B13" t="s">
        <v>31</v>
      </c>
      <c r="C13">
        <v>1</v>
      </c>
      <c r="D13">
        <v>0.96206998825073242</v>
      </c>
      <c r="E13">
        <v>1</v>
      </c>
      <c r="F13">
        <v>0.74703478813171387</v>
      </c>
      <c r="G13">
        <v>1</v>
      </c>
      <c r="H13">
        <v>0.84848415851593018</v>
      </c>
      <c r="I13">
        <v>1</v>
      </c>
      <c r="J13">
        <v>0.53381747007369995</v>
      </c>
      <c r="K13">
        <v>1</v>
      </c>
      <c r="L13">
        <f>ABS(ABS(K13-C13)-1)</f>
        <v>1</v>
      </c>
      <c r="M13">
        <f>ABS(ABS(E13-K13)-1)</f>
        <v>1</v>
      </c>
      <c r="N13">
        <f>ABS(ABS(G13-K13)-1)</f>
        <v>1</v>
      </c>
      <c r="O13">
        <f t="shared" si="0"/>
        <v>1</v>
      </c>
    </row>
    <row r="14" spans="1:15" x14ac:dyDescent="0.3">
      <c r="A14" t="s">
        <v>32</v>
      </c>
      <c r="B14" t="s">
        <v>33</v>
      </c>
      <c r="C14">
        <v>1</v>
      </c>
      <c r="D14">
        <v>0.89376711845397949</v>
      </c>
      <c r="E14">
        <v>1</v>
      </c>
      <c r="F14">
        <v>0.75088632106781006</v>
      </c>
      <c r="G14">
        <v>1</v>
      </c>
      <c r="H14">
        <v>0.87324374914169312</v>
      </c>
      <c r="I14">
        <v>1</v>
      </c>
      <c r="J14">
        <v>0.61784446239471436</v>
      </c>
      <c r="K14">
        <v>1</v>
      </c>
      <c r="L14">
        <f>ABS(ABS(K14-C14)-1)</f>
        <v>1</v>
      </c>
      <c r="M14">
        <f>ABS(ABS(E14-K14)-1)</f>
        <v>1</v>
      </c>
      <c r="N14">
        <f>ABS(ABS(G14-K14)-1)</f>
        <v>1</v>
      </c>
      <c r="O14">
        <f t="shared" si="0"/>
        <v>1</v>
      </c>
    </row>
    <row r="15" spans="1:15" x14ac:dyDescent="0.3">
      <c r="A15" t="s">
        <v>34</v>
      </c>
      <c r="B15" t="s">
        <v>35</v>
      </c>
      <c r="C15">
        <v>1</v>
      </c>
      <c r="D15">
        <v>0.74467658996582031</v>
      </c>
      <c r="E15">
        <v>1</v>
      </c>
      <c r="F15">
        <v>0.50349795818328857</v>
      </c>
      <c r="G15">
        <v>1</v>
      </c>
      <c r="H15">
        <v>0.5872950553894043</v>
      </c>
      <c r="I15">
        <v>1</v>
      </c>
      <c r="J15">
        <v>0.56617569923400879</v>
      </c>
      <c r="K15">
        <v>0</v>
      </c>
      <c r="L15">
        <f>ABS(ABS(K15-C15)-1)</f>
        <v>0</v>
      </c>
      <c r="M15">
        <f>ABS(ABS(E15-K15)-1)</f>
        <v>0</v>
      </c>
      <c r="N15">
        <f>ABS(ABS(G15-K15)-1)</f>
        <v>0</v>
      </c>
      <c r="O15">
        <f t="shared" si="0"/>
        <v>0</v>
      </c>
    </row>
    <row r="16" spans="1:15" x14ac:dyDescent="0.3">
      <c r="A16" t="s">
        <v>36</v>
      </c>
      <c r="B16" t="s">
        <v>37</v>
      </c>
      <c r="C16">
        <v>0</v>
      </c>
      <c r="D16">
        <v>0.22528371214866641</v>
      </c>
      <c r="E16">
        <v>0</v>
      </c>
      <c r="F16">
        <v>0.41504186391830439</v>
      </c>
      <c r="G16">
        <v>0</v>
      </c>
      <c r="H16">
        <v>0.28217330574989319</v>
      </c>
      <c r="I16">
        <v>1</v>
      </c>
      <c r="J16">
        <v>0.78066688776016235</v>
      </c>
      <c r="K16">
        <v>0</v>
      </c>
      <c r="L16">
        <f>ABS(ABS(K16-C16)-1)</f>
        <v>1</v>
      </c>
      <c r="M16">
        <f>ABS(ABS(E16-K16)-1)</f>
        <v>1</v>
      </c>
      <c r="N16">
        <f>ABS(ABS(G16-K16)-1)</f>
        <v>1</v>
      </c>
      <c r="O16">
        <f t="shared" si="0"/>
        <v>0</v>
      </c>
    </row>
    <row r="17" spans="1:15" x14ac:dyDescent="0.3">
      <c r="A17" t="s">
        <v>38</v>
      </c>
      <c r="B17" t="s">
        <v>39</v>
      </c>
      <c r="C17">
        <v>1</v>
      </c>
      <c r="D17">
        <v>0.865478515625</v>
      </c>
      <c r="E17">
        <v>1</v>
      </c>
      <c r="F17">
        <v>0.69166702032089233</v>
      </c>
      <c r="G17">
        <v>1</v>
      </c>
      <c r="H17">
        <v>0.64224112033843994</v>
      </c>
      <c r="I17">
        <v>1</v>
      </c>
      <c r="J17">
        <v>0.66119635105133057</v>
      </c>
      <c r="L17">
        <f>ABS(ABS(K17-C17)-1)</f>
        <v>0</v>
      </c>
      <c r="M17">
        <f>ABS(ABS(E17-K17)-1)</f>
        <v>0</v>
      </c>
      <c r="N17">
        <f>ABS(ABS(G17-K17)-1)</f>
        <v>0</v>
      </c>
      <c r="O17">
        <f t="shared" si="0"/>
        <v>0</v>
      </c>
    </row>
    <row r="18" spans="1:15" x14ac:dyDescent="0.3">
      <c r="A18" t="s">
        <v>8</v>
      </c>
      <c r="B18" t="s">
        <v>10</v>
      </c>
      <c r="C18">
        <v>1</v>
      </c>
      <c r="D18">
        <v>0.80518138408660889</v>
      </c>
      <c r="E18">
        <v>1</v>
      </c>
      <c r="F18">
        <v>0.53367292881011963</v>
      </c>
      <c r="G18">
        <v>1</v>
      </c>
      <c r="H18">
        <v>0.66162377595901489</v>
      </c>
      <c r="I18">
        <v>1</v>
      </c>
      <c r="J18">
        <v>0.75962471961975098</v>
      </c>
      <c r="L18">
        <f>ABS(ABS(K18-C18)-1)</f>
        <v>0</v>
      </c>
      <c r="M18">
        <f>ABS(ABS(E18-K18)-1)</f>
        <v>0</v>
      </c>
      <c r="N18">
        <f>ABS(ABS(G18-K18)-1)</f>
        <v>0</v>
      </c>
      <c r="O18">
        <f t="shared" si="0"/>
        <v>0</v>
      </c>
    </row>
    <row r="19" spans="1:15" x14ac:dyDescent="0.3">
      <c r="A19" t="s">
        <v>31</v>
      </c>
      <c r="B19" t="s">
        <v>36</v>
      </c>
      <c r="C19">
        <v>1</v>
      </c>
      <c r="D19">
        <v>0.59167653322219849</v>
      </c>
      <c r="E19">
        <v>1</v>
      </c>
      <c r="F19">
        <v>0.56314921379089355</v>
      </c>
      <c r="G19">
        <v>0</v>
      </c>
      <c r="H19">
        <v>0.49779373407363892</v>
      </c>
      <c r="I19">
        <v>0</v>
      </c>
      <c r="J19">
        <v>0.23510277271270749</v>
      </c>
      <c r="L19">
        <f>ABS(ABS(K19-C19)-1)</f>
        <v>0</v>
      </c>
      <c r="M19">
        <f>ABS(ABS(E19-K19)-1)</f>
        <v>0</v>
      </c>
      <c r="N19">
        <f>ABS(ABS(G19-K19)-1)</f>
        <v>1</v>
      </c>
      <c r="O19">
        <f t="shared" si="0"/>
        <v>1</v>
      </c>
    </row>
    <row r="20" spans="1:15" x14ac:dyDescent="0.3">
      <c r="A20" t="s">
        <v>22</v>
      </c>
      <c r="B20" t="s">
        <v>20</v>
      </c>
      <c r="C20">
        <v>1</v>
      </c>
      <c r="D20">
        <v>0.55799174308776855</v>
      </c>
      <c r="E20">
        <v>0</v>
      </c>
      <c r="F20">
        <v>0.48047277331352228</v>
      </c>
      <c r="G20">
        <v>1</v>
      </c>
      <c r="H20">
        <v>0.55827772617340088</v>
      </c>
      <c r="I20">
        <v>0</v>
      </c>
      <c r="J20">
        <v>0.31933256983757019</v>
      </c>
      <c r="L20">
        <f>ABS(ABS(K20-C20)-1)</f>
        <v>0</v>
      </c>
      <c r="M20">
        <f>ABS(ABS(E20-K20)-1)</f>
        <v>1</v>
      </c>
      <c r="N20">
        <f>ABS(ABS(G20-K20)-1)</f>
        <v>0</v>
      </c>
      <c r="O20">
        <f t="shared" si="0"/>
        <v>1</v>
      </c>
    </row>
    <row r="21" spans="1:15" x14ac:dyDescent="0.3">
      <c r="A21" t="s">
        <v>23</v>
      </c>
      <c r="B21" t="s">
        <v>30</v>
      </c>
      <c r="C21">
        <v>0</v>
      </c>
      <c r="D21">
        <v>0.1152009516954422</v>
      </c>
      <c r="E21">
        <v>0</v>
      </c>
      <c r="F21">
        <v>0.34663531184196472</v>
      </c>
      <c r="G21">
        <v>0</v>
      </c>
      <c r="H21">
        <v>0.34932157397270203</v>
      </c>
      <c r="I21">
        <v>0</v>
      </c>
      <c r="J21">
        <v>0.12985283136367801</v>
      </c>
      <c r="L21">
        <f>ABS(ABS(K21-C21)-1)</f>
        <v>1</v>
      </c>
      <c r="M21">
        <f>ABS(ABS(E21-K21)-1)</f>
        <v>1</v>
      </c>
      <c r="N21">
        <f>ABS(ABS(G21-K21)-1)</f>
        <v>1</v>
      </c>
      <c r="O21">
        <f t="shared" si="0"/>
        <v>1</v>
      </c>
    </row>
    <row r="22" spans="1:15" x14ac:dyDescent="0.3">
      <c r="A22" t="s">
        <v>12</v>
      </c>
      <c r="B22" t="s">
        <v>34</v>
      </c>
      <c r="C22">
        <v>1</v>
      </c>
      <c r="D22">
        <v>0.59160375595092773</v>
      </c>
      <c r="E22">
        <v>1</v>
      </c>
      <c r="F22">
        <v>0.6104276180267334</v>
      </c>
      <c r="G22">
        <v>1</v>
      </c>
      <c r="H22">
        <v>0.57493889331817627</v>
      </c>
      <c r="I22">
        <v>1</v>
      </c>
      <c r="J22">
        <v>0.50744068622589111</v>
      </c>
      <c r="L22">
        <f>ABS(ABS(K22-C22)-1)</f>
        <v>0</v>
      </c>
      <c r="M22">
        <f>ABS(ABS(E22-K22)-1)</f>
        <v>0</v>
      </c>
      <c r="N22">
        <f>ABS(ABS(G22-K22)-1)</f>
        <v>0</v>
      </c>
      <c r="O22">
        <f t="shared" si="0"/>
        <v>0</v>
      </c>
    </row>
    <row r="23" spans="1:15" x14ac:dyDescent="0.3">
      <c r="A23" t="s">
        <v>24</v>
      </c>
      <c r="B23" t="s">
        <v>21</v>
      </c>
      <c r="C23">
        <v>1</v>
      </c>
      <c r="D23">
        <v>0.82391566038131714</v>
      </c>
      <c r="E23">
        <v>1</v>
      </c>
      <c r="F23">
        <v>0.76289445161819458</v>
      </c>
      <c r="G23">
        <v>1</v>
      </c>
      <c r="H23">
        <v>0.74351125955581665</v>
      </c>
      <c r="I23">
        <v>1</v>
      </c>
      <c r="J23">
        <v>0.66269397735595703</v>
      </c>
      <c r="L23">
        <f>ABS(ABS(K23-C23)-1)</f>
        <v>0</v>
      </c>
      <c r="M23">
        <f>ABS(ABS(E23-K23)-1)</f>
        <v>0</v>
      </c>
      <c r="N23">
        <f>ABS(ABS(G23-K23)-1)</f>
        <v>0</v>
      </c>
      <c r="O23">
        <f t="shared" si="0"/>
        <v>0</v>
      </c>
    </row>
    <row r="24" spans="1:15" x14ac:dyDescent="0.3">
      <c r="A24" t="s">
        <v>17</v>
      </c>
      <c r="B24" t="s">
        <v>18</v>
      </c>
      <c r="C24">
        <v>0</v>
      </c>
      <c r="D24">
        <v>0.4488646388053894</v>
      </c>
      <c r="E24">
        <v>0</v>
      </c>
      <c r="F24">
        <v>0.47168183326721191</v>
      </c>
      <c r="G24">
        <v>0</v>
      </c>
      <c r="H24">
        <v>0.47017502784728998</v>
      </c>
      <c r="I24">
        <v>0</v>
      </c>
      <c r="J24">
        <v>0.46474191546440119</v>
      </c>
      <c r="L24">
        <f>ABS(ABS(K24-C24)-1)</f>
        <v>1</v>
      </c>
      <c r="M24">
        <f>ABS(ABS(E24-K24)-1)</f>
        <v>1</v>
      </c>
      <c r="N24">
        <f>ABS(ABS(G24-K24)-1)</f>
        <v>1</v>
      </c>
      <c r="O24">
        <f t="shared" si="0"/>
        <v>1</v>
      </c>
    </row>
    <row r="25" spans="1:15" x14ac:dyDescent="0.3">
      <c r="A25" t="s">
        <v>28</v>
      </c>
      <c r="B25" t="s">
        <v>16</v>
      </c>
      <c r="C25">
        <v>1</v>
      </c>
      <c r="D25">
        <v>0.82163780927658081</v>
      </c>
      <c r="E25">
        <v>1</v>
      </c>
      <c r="F25">
        <v>0.53972828388214111</v>
      </c>
      <c r="G25">
        <v>1</v>
      </c>
      <c r="H25">
        <v>0.62553560733795166</v>
      </c>
      <c r="I25">
        <v>1</v>
      </c>
      <c r="J25">
        <v>0.52921533584594727</v>
      </c>
      <c r="L25">
        <f>ABS(ABS(K25-C25)-1)</f>
        <v>0</v>
      </c>
      <c r="M25">
        <f>ABS(ABS(E25-K25)-1)</f>
        <v>0</v>
      </c>
      <c r="N25">
        <f>ABS(ABS(G25-K25)-1)</f>
        <v>0</v>
      </c>
      <c r="O25">
        <f t="shared" si="0"/>
        <v>0</v>
      </c>
    </row>
    <row r="26" spans="1:15" x14ac:dyDescent="0.3">
      <c r="A26" t="s">
        <v>35</v>
      </c>
      <c r="B26" t="s">
        <v>13</v>
      </c>
      <c r="C26">
        <v>1</v>
      </c>
      <c r="D26">
        <v>0.9419708251953125</v>
      </c>
      <c r="E26">
        <v>1</v>
      </c>
      <c r="F26">
        <v>0.74065446853637695</v>
      </c>
      <c r="G26">
        <v>1</v>
      </c>
      <c r="H26">
        <v>0.93908399343490601</v>
      </c>
      <c r="I26">
        <v>1</v>
      </c>
      <c r="J26">
        <v>0.85355991125106812</v>
      </c>
      <c r="L26">
        <f>ABS(ABS(K26-C26)-1)</f>
        <v>0</v>
      </c>
      <c r="M26">
        <f>ABS(ABS(E26-K26)-1)</f>
        <v>0</v>
      </c>
      <c r="N26">
        <f>ABS(ABS(G26-K26)-1)</f>
        <v>0</v>
      </c>
      <c r="O26">
        <f t="shared" si="0"/>
        <v>0</v>
      </c>
    </row>
    <row r="27" spans="1:15" x14ac:dyDescent="0.3">
      <c r="A27" t="s">
        <v>33</v>
      </c>
      <c r="B27" t="s">
        <v>37</v>
      </c>
      <c r="C27">
        <v>0</v>
      </c>
      <c r="D27">
        <v>7.8584164381027222E-2</v>
      </c>
      <c r="E27">
        <v>0</v>
      </c>
      <c r="F27">
        <v>0.33534437417984009</v>
      </c>
      <c r="G27">
        <v>0</v>
      </c>
      <c r="H27">
        <v>0.23944865167140961</v>
      </c>
      <c r="I27">
        <v>0</v>
      </c>
      <c r="J27">
        <v>0.19986315071582789</v>
      </c>
      <c r="L27">
        <f>ABS(ABS(K27-C27)-1)</f>
        <v>1</v>
      </c>
      <c r="M27">
        <f>ABS(ABS(E27-K27)-1)</f>
        <v>1</v>
      </c>
      <c r="N27">
        <f>ABS(ABS(G27-K27)-1)</f>
        <v>1</v>
      </c>
      <c r="O27">
        <f t="shared" si="0"/>
        <v>1</v>
      </c>
    </row>
    <row r="28" spans="1:15" x14ac:dyDescent="0.3">
      <c r="A28" t="s">
        <v>9</v>
      </c>
      <c r="B28" t="s">
        <v>15</v>
      </c>
      <c r="C28">
        <v>1</v>
      </c>
      <c r="D28">
        <v>0.83559751510620117</v>
      </c>
      <c r="E28">
        <v>1</v>
      </c>
      <c r="F28">
        <v>0.78080040216445923</v>
      </c>
      <c r="G28">
        <v>1</v>
      </c>
      <c r="H28">
        <v>0.55956804752349854</v>
      </c>
      <c r="I28">
        <v>1</v>
      </c>
      <c r="J28">
        <v>0.76964646577835083</v>
      </c>
      <c r="L28">
        <f>ABS(ABS(K28-C28)-1)</f>
        <v>0</v>
      </c>
      <c r="M28">
        <f>ABS(ABS(E28-K28)-1)</f>
        <v>0</v>
      </c>
      <c r="N28">
        <f>ABS(ABS(G28-K28)-1)</f>
        <v>0</v>
      </c>
      <c r="O28">
        <f t="shared" si="0"/>
        <v>0</v>
      </c>
    </row>
    <row r="29" spans="1:15" x14ac:dyDescent="0.3">
      <c r="A29" t="s">
        <v>25</v>
      </c>
      <c r="B29" t="s">
        <v>27</v>
      </c>
      <c r="C29">
        <v>0</v>
      </c>
      <c r="D29">
        <v>0.36450695991516108</v>
      </c>
      <c r="E29">
        <v>0</v>
      </c>
      <c r="F29">
        <v>0.42915511131286621</v>
      </c>
      <c r="G29">
        <v>0</v>
      </c>
      <c r="H29">
        <v>0.25024884939193731</v>
      </c>
      <c r="I29">
        <v>0</v>
      </c>
      <c r="J29">
        <v>0.41316419839859009</v>
      </c>
      <c r="L29">
        <f>ABS(ABS(K29-C29)-1)</f>
        <v>1</v>
      </c>
      <c r="M29">
        <f>ABS(ABS(E29-K29)-1)</f>
        <v>1</v>
      </c>
      <c r="N29">
        <f>ABS(ABS(G29-K29)-1)</f>
        <v>1</v>
      </c>
      <c r="O29">
        <f t="shared" si="0"/>
        <v>1</v>
      </c>
    </row>
    <row r="30" spans="1:15" x14ac:dyDescent="0.3">
      <c r="A30" t="s">
        <v>11</v>
      </c>
      <c r="B30" t="s">
        <v>19</v>
      </c>
      <c r="C30">
        <v>1</v>
      </c>
      <c r="D30">
        <v>0.52830559015274048</v>
      </c>
      <c r="E30">
        <v>1</v>
      </c>
      <c r="F30">
        <v>0.62886810302734375</v>
      </c>
      <c r="G30">
        <v>1</v>
      </c>
      <c r="H30">
        <v>0.73464906215667725</v>
      </c>
      <c r="I30">
        <v>1</v>
      </c>
      <c r="J30">
        <v>0.67039728164672852</v>
      </c>
      <c r="L30">
        <f>ABS(ABS(K30-C30)-1)</f>
        <v>0</v>
      </c>
      <c r="M30">
        <f>ABS(ABS(E30-K30)-1)</f>
        <v>0</v>
      </c>
      <c r="N30">
        <f>ABS(ABS(G30-K30)-1)</f>
        <v>0</v>
      </c>
      <c r="O30">
        <f t="shared" si="0"/>
        <v>0</v>
      </c>
    </row>
    <row r="31" spans="1:15" x14ac:dyDescent="0.3">
      <c r="A31" t="s">
        <v>32</v>
      </c>
      <c r="B31" t="s">
        <v>14</v>
      </c>
      <c r="C31">
        <v>1</v>
      </c>
      <c r="D31">
        <v>0.54148077964782715</v>
      </c>
      <c r="E31">
        <v>0</v>
      </c>
      <c r="F31">
        <v>0.49161383509635931</v>
      </c>
      <c r="G31">
        <v>1</v>
      </c>
      <c r="H31">
        <v>0.68163692951202393</v>
      </c>
      <c r="I31">
        <v>1</v>
      </c>
      <c r="J31">
        <v>0.52128338813781738</v>
      </c>
      <c r="L31">
        <f>ABS(ABS(K31-C31)-1)</f>
        <v>0</v>
      </c>
      <c r="M31">
        <f>ABS(ABS(E31-K31)-1)</f>
        <v>1</v>
      </c>
      <c r="N31">
        <f>ABS(ABS(G31-K31)-1)</f>
        <v>0</v>
      </c>
      <c r="O31">
        <f t="shared" si="0"/>
        <v>0</v>
      </c>
    </row>
    <row r="32" spans="1:15" x14ac:dyDescent="0.3">
      <c r="A32" t="s">
        <v>24</v>
      </c>
      <c r="B32" t="s">
        <v>23</v>
      </c>
      <c r="C32">
        <v>1</v>
      </c>
      <c r="D32">
        <v>0.63962364196777344</v>
      </c>
      <c r="E32">
        <v>1</v>
      </c>
      <c r="F32">
        <v>0.73205161094665527</v>
      </c>
      <c r="G32">
        <v>1</v>
      </c>
      <c r="H32">
        <v>0.69080460071563721</v>
      </c>
      <c r="I32">
        <v>1</v>
      </c>
      <c r="J32">
        <v>0.86274349689483643</v>
      </c>
      <c r="L32">
        <f>ABS(ABS(K32-C32)-1)</f>
        <v>0</v>
      </c>
      <c r="M32">
        <f>ABS(ABS(E32-K32)-1)</f>
        <v>0</v>
      </c>
      <c r="N32">
        <f>ABS(ABS(G32-K32)-1)</f>
        <v>0</v>
      </c>
      <c r="O32">
        <f t="shared" si="0"/>
        <v>0</v>
      </c>
    </row>
    <row r="33" spans="1:15" x14ac:dyDescent="0.3">
      <c r="A33" t="s">
        <v>19</v>
      </c>
      <c r="B33" t="s">
        <v>25</v>
      </c>
      <c r="C33">
        <v>1</v>
      </c>
      <c r="D33">
        <v>0.85711592435836792</v>
      </c>
      <c r="E33">
        <v>1</v>
      </c>
      <c r="F33">
        <v>0.7578461766242981</v>
      </c>
      <c r="G33">
        <v>1</v>
      </c>
      <c r="H33">
        <v>0.61156082153320313</v>
      </c>
      <c r="I33">
        <v>0</v>
      </c>
      <c r="J33">
        <v>0.26223325729370123</v>
      </c>
      <c r="L33">
        <f>ABS(ABS(K33-C33)-1)</f>
        <v>0</v>
      </c>
      <c r="M33">
        <f>ABS(ABS(E33-K33)-1)</f>
        <v>0</v>
      </c>
      <c r="N33">
        <f>ABS(ABS(G33-K33)-1)</f>
        <v>0</v>
      </c>
      <c r="O33">
        <f t="shared" si="0"/>
        <v>1</v>
      </c>
    </row>
    <row r="34" spans="1:15" x14ac:dyDescent="0.3">
      <c r="A34" t="s">
        <v>15</v>
      </c>
      <c r="B34" t="s">
        <v>28</v>
      </c>
      <c r="C34">
        <v>1</v>
      </c>
      <c r="D34">
        <v>0.81676459312438965</v>
      </c>
      <c r="E34">
        <v>1</v>
      </c>
      <c r="F34">
        <v>0.78158706426620483</v>
      </c>
      <c r="G34">
        <v>1</v>
      </c>
      <c r="H34">
        <v>0.82367473840713501</v>
      </c>
      <c r="I34">
        <v>1</v>
      </c>
      <c r="J34">
        <v>0.81951642036437988</v>
      </c>
      <c r="L34">
        <f>ABS(ABS(K34-C34)-1)</f>
        <v>0</v>
      </c>
      <c r="M34">
        <f>ABS(ABS(E34-K34)-1)</f>
        <v>0</v>
      </c>
      <c r="N34">
        <f>ABS(ABS(G34-K34)-1)</f>
        <v>0</v>
      </c>
      <c r="O34">
        <f t="shared" si="0"/>
        <v>0</v>
      </c>
    </row>
    <row r="35" spans="1:15" x14ac:dyDescent="0.3">
      <c r="A35" t="s">
        <v>11</v>
      </c>
      <c r="B35" t="s">
        <v>32</v>
      </c>
      <c r="C35">
        <v>1</v>
      </c>
      <c r="D35">
        <v>0.6301414966583252</v>
      </c>
      <c r="E35">
        <v>1</v>
      </c>
      <c r="F35">
        <v>0.74735713005065918</v>
      </c>
      <c r="G35">
        <v>1</v>
      </c>
      <c r="H35">
        <v>0.57914698123931885</v>
      </c>
      <c r="I35">
        <v>1</v>
      </c>
      <c r="J35">
        <v>0.75997281074523926</v>
      </c>
      <c r="L35">
        <f>ABS(ABS(K35-C35)-1)</f>
        <v>0</v>
      </c>
      <c r="M35">
        <f>ABS(ABS(E35-K35)-1)</f>
        <v>0</v>
      </c>
      <c r="N35">
        <f>ABS(ABS(G35-K35)-1)</f>
        <v>0</v>
      </c>
      <c r="O35">
        <f t="shared" si="0"/>
        <v>0</v>
      </c>
    </row>
    <row r="36" spans="1:15" x14ac:dyDescent="0.3">
      <c r="A36" t="s">
        <v>13</v>
      </c>
      <c r="B36" t="s">
        <v>12</v>
      </c>
      <c r="C36">
        <v>0</v>
      </c>
      <c r="D36">
        <v>0.1495581120252609</v>
      </c>
      <c r="E36">
        <v>0</v>
      </c>
      <c r="F36">
        <v>0.32906877994537348</v>
      </c>
      <c r="G36">
        <v>0</v>
      </c>
      <c r="H36">
        <v>0.32891935110092158</v>
      </c>
      <c r="I36">
        <v>1</v>
      </c>
      <c r="J36">
        <v>0.62732738256454468</v>
      </c>
      <c r="L36">
        <f>ABS(ABS(K36-C36)-1)</f>
        <v>1</v>
      </c>
      <c r="M36">
        <f>ABS(ABS(E36-K36)-1)</f>
        <v>1</v>
      </c>
      <c r="N36">
        <f>ABS(ABS(G36-K36)-1)</f>
        <v>1</v>
      </c>
      <c r="O36">
        <f t="shared" si="0"/>
        <v>0</v>
      </c>
    </row>
    <row r="37" spans="1:15" x14ac:dyDescent="0.3">
      <c r="A37" t="s">
        <v>38</v>
      </c>
      <c r="B37" t="s">
        <v>35</v>
      </c>
      <c r="C37">
        <v>1</v>
      </c>
      <c r="D37">
        <v>0.79737186431884766</v>
      </c>
      <c r="E37">
        <v>1</v>
      </c>
      <c r="F37">
        <v>0.60576987266540527</v>
      </c>
      <c r="G37">
        <v>1</v>
      </c>
      <c r="H37">
        <v>0.58139121532440186</v>
      </c>
      <c r="I37">
        <v>1</v>
      </c>
      <c r="J37">
        <v>0.78441864252090454</v>
      </c>
      <c r="L37">
        <f>ABS(ABS(K37-C37)-1)</f>
        <v>0</v>
      </c>
      <c r="M37">
        <f>ABS(ABS(E37-K37)-1)</f>
        <v>0</v>
      </c>
      <c r="N37">
        <f>ABS(ABS(G37-K37)-1)</f>
        <v>0</v>
      </c>
      <c r="O37">
        <f t="shared" si="0"/>
        <v>0</v>
      </c>
    </row>
    <row r="38" spans="1:15" x14ac:dyDescent="0.3">
      <c r="A38" t="s">
        <v>39</v>
      </c>
      <c r="B38" t="s">
        <v>36</v>
      </c>
      <c r="C38">
        <v>1</v>
      </c>
      <c r="D38">
        <v>0.72542703151702881</v>
      </c>
      <c r="E38">
        <v>1</v>
      </c>
      <c r="F38">
        <v>0.60402262210845947</v>
      </c>
      <c r="G38">
        <v>1</v>
      </c>
      <c r="H38">
        <v>0.66097384691238403</v>
      </c>
      <c r="I38">
        <v>0</v>
      </c>
      <c r="J38">
        <v>0.110517293214798</v>
      </c>
      <c r="L38">
        <f>ABS(ABS(K38-C38)-1)</f>
        <v>0</v>
      </c>
      <c r="M38">
        <f>ABS(ABS(E38-K38)-1)</f>
        <v>0</v>
      </c>
      <c r="N38">
        <f>ABS(ABS(G38-K38)-1)</f>
        <v>0</v>
      </c>
      <c r="O38">
        <f t="shared" si="0"/>
        <v>1</v>
      </c>
    </row>
    <row r="39" spans="1:15" x14ac:dyDescent="0.3">
      <c r="A39" t="s">
        <v>14</v>
      </c>
      <c r="B39" t="s">
        <v>33</v>
      </c>
      <c r="C39">
        <v>1</v>
      </c>
      <c r="D39">
        <v>0.96114730834960938</v>
      </c>
      <c r="E39">
        <v>1</v>
      </c>
      <c r="F39">
        <v>0.92594319581985474</v>
      </c>
      <c r="G39">
        <v>1</v>
      </c>
      <c r="H39">
        <v>0.8047860860824585</v>
      </c>
      <c r="I39">
        <v>1</v>
      </c>
      <c r="J39">
        <v>0.57663834095001221</v>
      </c>
      <c r="L39">
        <f>ABS(ABS(K39-C39)-1)</f>
        <v>0</v>
      </c>
      <c r="M39">
        <f>ABS(ABS(E39-K39)-1)</f>
        <v>0</v>
      </c>
      <c r="N39">
        <f>ABS(ABS(G39-K39)-1)</f>
        <v>0</v>
      </c>
      <c r="O39">
        <f t="shared" si="0"/>
        <v>0</v>
      </c>
    </row>
    <row r="40" spans="1:15" x14ac:dyDescent="0.3">
      <c r="A40" t="s">
        <v>17</v>
      </c>
      <c r="B40" t="s">
        <v>22</v>
      </c>
      <c r="C40">
        <v>1</v>
      </c>
      <c r="D40">
        <v>0.8855215311050415</v>
      </c>
      <c r="E40">
        <v>1</v>
      </c>
      <c r="F40">
        <v>0.86206436157226563</v>
      </c>
      <c r="G40">
        <v>1</v>
      </c>
      <c r="H40">
        <v>0.73643171787261963</v>
      </c>
      <c r="I40">
        <v>1</v>
      </c>
      <c r="J40">
        <v>0.88939952850341797</v>
      </c>
      <c r="L40">
        <f>ABS(ABS(K40-C40)-1)</f>
        <v>0</v>
      </c>
      <c r="M40">
        <f>ABS(ABS(E40-K40)-1)</f>
        <v>0</v>
      </c>
      <c r="N40">
        <f>ABS(ABS(G40-K40)-1)</f>
        <v>0</v>
      </c>
      <c r="O40">
        <f t="shared" si="0"/>
        <v>0</v>
      </c>
    </row>
    <row r="41" spans="1:15" x14ac:dyDescent="0.3">
      <c r="A41" t="s">
        <v>29</v>
      </c>
      <c r="B41" t="s">
        <v>16</v>
      </c>
      <c r="C41">
        <v>1</v>
      </c>
      <c r="D41">
        <v>0.9181896448135376</v>
      </c>
      <c r="E41">
        <v>1</v>
      </c>
      <c r="F41">
        <v>0.76103782653808594</v>
      </c>
      <c r="G41">
        <v>1</v>
      </c>
      <c r="H41">
        <v>0.90063011646270752</v>
      </c>
      <c r="I41">
        <v>1</v>
      </c>
      <c r="J41">
        <v>0.52228093147277832</v>
      </c>
      <c r="L41">
        <f>ABS(ABS(K41-C41)-1)</f>
        <v>0</v>
      </c>
      <c r="M41">
        <f>ABS(ABS(E41-K41)-1)</f>
        <v>0</v>
      </c>
      <c r="N41">
        <f>ABS(ABS(G41-K41)-1)</f>
        <v>0</v>
      </c>
      <c r="O41">
        <f t="shared" si="0"/>
        <v>0</v>
      </c>
    </row>
    <row r="42" spans="1:15" x14ac:dyDescent="0.3">
      <c r="A42" t="s">
        <v>30</v>
      </c>
      <c r="B42" t="s">
        <v>18</v>
      </c>
      <c r="C42">
        <v>1</v>
      </c>
      <c r="D42">
        <v>0.68500542640686035</v>
      </c>
      <c r="E42">
        <v>0</v>
      </c>
      <c r="F42">
        <v>0.48433330655097961</v>
      </c>
      <c r="G42">
        <v>1</v>
      </c>
      <c r="H42">
        <v>0.51933658123016357</v>
      </c>
      <c r="I42">
        <v>1</v>
      </c>
      <c r="J42">
        <v>0.52589315176010132</v>
      </c>
      <c r="L42">
        <f>ABS(ABS(K42-C42)-1)</f>
        <v>0</v>
      </c>
      <c r="M42">
        <f>ABS(ABS(E42-K42)-1)</f>
        <v>1</v>
      </c>
      <c r="N42">
        <f>ABS(ABS(G42-K42)-1)</f>
        <v>0</v>
      </c>
      <c r="O42">
        <f t="shared" si="0"/>
        <v>0</v>
      </c>
    </row>
    <row r="43" spans="1:15" x14ac:dyDescent="0.3">
      <c r="A43" t="s">
        <v>27</v>
      </c>
      <c r="B43" t="s">
        <v>8</v>
      </c>
      <c r="C43">
        <v>1</v>
      </c>
      <c r="D43">
        <v>0.75259381532669067</v>
      </c>
      <c r="E43">
        <v>1</v>
      </c>
      <c r="F43">
        <v>0.6406174898147583</v>
      </c>
      <c r="G43">
        <v>1</v>
      </c>
      <c r="H43">
        <v>0.50763797760009766</v>
      </c>
      <c r="I43">
        <v>0</v>
      </c>
      <c r="J43">
        <v>0.30623540282249451</v>
      </c>
      <c r="L43">
        <f>ABS(ABS(K43-C43)-1)</f>
        <v>0</v>
      </c>
      <c r="M43">
        <f>ABS(ABS(E43-K43)-1)</f>
        <v>0</v>
      </c>
      <c r="N43">
        <f>ABS(ABS(G43-K43)-1)</f>
        <v>0</v>
      </c>
      <c r="O43">
        <f t="shared" si="0"/>
        <v>1</v>
      </c>
    </row>
    <row r="44" spans="1:15" x14ac:dyDescent="0.3">
      <c r="A44" t="s">
        <v>37</v>
      </c>
      <c r="B44" t="s">
        <v>9</v>
      </c>
      <c r="C44">
        <v>1</v>
      </c>
      <c r="D44">
        <v>0.66006362438201904</v>
      </c>
      <c r="E44">
        <v>0</v>
      </c>
      <c r="F44">
        <v>0.46750631928443909</v>
      </c>
      <c r="G44">
        <v>1</v>
      </c>
      <c r="H44">
        <v>0.54078960418701172</v>
      </c>
      <c r="I44">
        <v>0</v>
      </c>
      <c r="J44">
        <v>0.32811775803565979</v>
      </c>
      <c r="L44">
        <f>ABS(ABS(K44-C44)-1)</f>
        <v>0</v>
      </c>
      <c r="M44">
        <f>ABS(ABS(E44-K44)-1)</f>
        <v>1</v>
      </c>
      <c r="N44">
        <f>ABS(ABS(G44-K44)-1)</f>
        <v>0</v>
      </c>
      <c r="O44">
        <f t="shared" si="0"/>
        <v>1</v>
      </c>
    </row>
    <row r="45" spans="1:15" x14ac:dyDescent="0.3">
      <c r="A45" t="s">
        <v>21</v>
      </c>
      <c r="B45" t="s">
        <v>26</v>
      </c>
      <c r="C45">
        <v>0</v>
      </c>
      <c r="D45">
        <v>0.36760935187339783</v>
      </c>
      <c r="E45">
        <v>0</v>
      </c>
      <c r="F45">
        <v>0.41243940591812128</v>
      </c>
      <c r="G45">
        <v>0</v>
      </c>
      <c r="H45">
        <v>0.46389749646186829</v>
      </c>
      <c r="I45">
        <v>0</v>
      </c>
      <c r="J45">
        <v>0.49296018481254578</v>
      </c>
      <c r="L45">
        <f>ABS(ABS(K45-C45)-1)</f>
        <v>1</v>
      </c>
      <c r="M45">
        <f>ABS(ABS(E45-K45)-1)</f>
        <v>1</v>
      </c>
      <c r="N45">
        <f>ABS(ABS(G45-K45)-1)</f>
        <v>1</v>
      </c>
      <c r="O45">
        <f t="shared" si="0"/>
        <v>1</v>
      </c>
    </row>
    <row r="46" spans="1:15" x14ac:dyDescent="0.3">
      <c r="A46" t="s">
        <v>10</v>
      </c>
      <c r="B46" t="s">
        <v>31</v>
      </c>
      <c r="C46">
        <v>1</v>
      </c>
      <c r="D46">
        <v>0.79859817028045654</v>
      </c>
      <c r="E46">
        <v>1</v>
      </c>
      <c r="F46">
        <v>0.74847406148910522</v>
      </c>
      <c r="G46">
        <v>1</v>
      </c>
      <c r="H46">
        <v>0.76686960458755493</v>
      </c>
      <c r="I46">
        <v>1</v>
      </c>
      <c r="J46">
        <v>0.9398154616355896</v>
      </c>
      <c r="L46">
        <f>ABS(ABS(K46-C46)-1)</f>
        <v>0</v>
      </c>
      <c r="M46">
        <f>ABS(ABS(E46-K46)-1)</f>
        <v>0</v>
      </c>
      <c r="N46">
        <f>ABS(ABS(G46-K46)-1)</f>
        <v>0</v>
      </c>
      <c r="O46">
        <f t="shared" si="0"/>
        <v>0</v>
      </c>
    </row>
    <row r="47" spans="1:15" x14ac:dyDescent="0.3">
      <c r="A47" t="s">
        <v>34</v>
      </c>
      <c r="B47" t="s">
        <v>20</v>
      </c>
      <c r="C47">
        <v>1</v>
      </c>
      <c r="D47">
        <v>0.8265417218208313</v>
      </c>
      <c r="E47">
        <v>1</v>
      </c>
      <c r="F47">
        <v>0.5475848913192749</v>
      </c>
      <c r="G47">
        <v>1</v>
      </c>
      <c r="H47">
        <v>0.73773109912872314</v>
      </c>
      <c r="I47">
        <v>0</v>
      </c>
      <c r="J47">
        <v>0.47972258925437927</v>
      </c>
      <c r="L47">
        <f>ABS(ABS(K47-C47)-1)</f>
        <v>0</v>
      </c>
      <c r="M47">
        <f>ABS(ABS(E47-K47)-1)</f>
        <v>0</v>
      </c>
      <c r="N47">
        <f>ABS(ABS(G47-K47)-1)</f>
        <v>0</v>
      </c>
      <c r="O47">
        <f t="shared" si="0"/>
        <v>1</v>
      </c>
    </row>
    <row r="48" spans="1:15" x14ac:dyDescent="0.3">
      <c r="A48" t="s">
        <v>30</v>
      </c>
      <c r="B48" t="s">
        <v>27</v>
      </c>
      <c r="C48">
        <v>1</v>
      </c>
      <c r="D48">
        <v>0.66251194477081299</v>
      </c>
      <c r="E48">
        <v>1</v>
      </c>
      <c r="F48">
        <v>0.5941460132598877</v>
      </c>
      <c r="G48">
        <v>0</v>
      </c>
      <c r="H48">
        <v>0.42001265287399292</v>
      </c>
      <c r="I48">
        <v>0</v>
      </c>
      <c r="J48">
        <v>0.49862468242645258</v>
      </c>
      <c r="L48">
        <f>ABS(ABS(K48-C48)-1)</f>
        <v>0</v>
      </c>
      <c r="M48">
        <f>ABS(ABS(E48-K48)-1)</f>
        <v>0</v>
      </c>
      <c r="N48">
        <f>ABS(ABS(G48-K48)-1)</f>
        <v>1</v>
      </c>
      <c r="O48">
        <f t="shared" si="0"/>
        <v>1</v>
      </c>
    </row>
    <row r="49" spans="1:15" x14ac:dyDescent="0.3">
      <c r="A49" t="s">
        <v>15</v>
      </c>
      <c r="B49" t="s">
        <v>9</v>
      </c>
      <c r="C49">
        <v>0</v>
      </c>
      <c r="D49">
        <v>0.34282135963439941</v>
      </c>
      <c r="E49">
        <v>0</v>
      </c>
      <c r="F49">
        <v>0.44041150808334351</v>
      </c>
      <c r="G49">
        <v>0</v>
      </c>
      <c r="H49">
        <v>0.44786256551742548</v>
      </c>
      <c r="I49">
        <v>1</v>
      </c>
      <c r="J49">
        <v>0.80790287256240845</v>
      </c>
      <c r="L49">
        <f>ABS(ABS(K49-C49)-1)</f>
        <v>1</v>
      </c>
      <c r="M49">
        <f>ABS(ABS(E49-K49)-1)</f>
        <v>1</v>
      </c>
      <c r="N49">
        <f>ABS(ABS(G49-K49)-1)</f>
        <v>1</v>
      </c>
      <c r="O49">
        <f t="shared" si="0"/>
        <v>0</v>
      </c>
    </row>
    <row r="50" spans="1:15" x14ac:dyDescent="0.3">
      <c r="A50" t="s">
        <v>36</v>
      </c>
      <c r="B50" t="s">
        <v>14</v>
      </c>
      <c r="C50">
        <v>0</v>
      </c>
      <c r="D50">
        <v>0.4380551278591156</v>
      </c>
      <c r="E50">
        <v>0</v>
      </c>
      <c r="F50">
        <v>0.40631216764450068</v>
      </c>
      <c r="G50">
        <v>0</v>
      </c>
      <c r="H50">
        <v>0.4116089940071106</v>
      </c>
      <c r="I50">
        <v>1</v>
      </c>
      <c r="J50">
        <v>0.73360526561737061</v>
      </c>
      <c r="L50">
        <f>ABS(ABS(K50-C50)-1)</f>
        <v>1</v>
      </c>
      <c r="M50">
        <f>ABS(ABS(E50-K50)-1)</f>
        <v>1</v>
      </c>
      <c r="N50">
        <f>ABS(ABS(G50-K50)-1)</f>
        <v>1</v>
      </c>
      <c r="O50">
        <f t="shared" si="0"/>
        <v>0</v>
      </c>
    </row>
    <row r="51" spans="1:15" x14ac:dyDescent="0.3">
      <c r="A51" t="s">
        <v>10</v>
      </c>
      <c r="B51" t="s">
        <v>32</v>
      </c>
      <c r="C51">
        <v>0</v>
      </c>
      <c r="D51">
        <v>0.46035075187683111</v>
      </c>
      <c r="E51">
        <v>0</v>
      </c>
      <c r="F51">
        <v>0.48600265383720398</v>
      </c>
      <c r="G51">
        <v>1</v>
      </c>
      <c r="H51">
        <v>0.62825477123260498</v>
      </c>
      <c r="I51">
        <v>1</v>
      </c>
      <c r="J51">
        <v>0.82815670967102051</v>
      </c>
      <c r="L51">
        <f>ABS(ABS(K51-C51)-1)</f>
        <v>1</v>
      </c>
      <c r="M51">
        <f>ABS(ABS(E51-K51)-1)</f>
        <v>1</v>
      </c>
      <c r="N51">
        <f>ABS(ABS(G51-K51)-1)</f>
        <v>0</v>
      </c>
      <c r="O51">
        <f t="shared" si="0"/>
        <v>0</v>
      </c>
    </row>
    <row r="52" spans="1:15" x14ac:dyDescent="0.3">
      <c r="A52" t="s">
        <v>16</v>
      </c>
      <c r="B52" t="s">
        <v>11</v>
      </c>
      <c r="C52">
        <v>0</v>
      </c>
      <c r="D52">
        <v>0.1450398862361908</v>
      </c>
      <c r="E52">
        <v>0</v>
      </c>
      <c r="F52">
        <v>0.27943140268325811</v>
      </c>
      <c r="G52">
        <v>0</v>
      </c>
      <c r="H52">
        <v>0.21141104400157931</v>
      </c>
      <c r="I52">
        <v>0</v>
      </c>
      <c r="J52">
        <v>0.14732615649700159</v>
      </c>
      <c r="L52">
        <f>ABS(ABS(K52-C52)-1)</f>
        <v>1</v>
      </c>
      <c r="M52">
        <f>ABS(ABS(E52-K52)-1)</f>
        <v>1</v>
      </c>
      <c r="N52">
        <f>ABS(ABS(G52-K52)-1)</f>
        <v>1</v>
      </c>
      <c r="O52">
        <f t="shared" si="0"/>
        <v>1</v>
      </c>
    </row>
    <row r="53" spans="1:15" x14ac:dyDescent="0.3">
      <c r="A53" t="s">
        <v>21</v>
      </c>
      <c r="B53" t="s">
        <v>22</v>
      </c>
      <c r="C53">
        <v>0</v>
      </c>
      <c r="D53">
        <v>0.48590511083602911</v>
      </c>
      <c r="E53">
        <v>1</v>
      </c>
      <c r="F53">
        <v>0.63925254344940186</v>
      </c>
      <c r="G53">
        <v>1</v>
      </c>
      <c r="H53">
        <v>0.51977872848510742</v>
      </c>
      <c r="I53">
        <v>1</v>
      </c>
      <c r="J53">
        <v>0.58559167385101318</v>
      </c>
      <c r="L53">
        <f>ABS(ABS(K53-C53)-1)</f>
        <v>1</v>
      </c>
      <c r="M53">
        <f>ABS(ABS(E53-K53)-1)</f>
        <v>0</v>
      </c>
      <c r="N53">
        <f>ABS(ABS(G53-K53)-1)</f>
        <v>0</v>
      </c>
      <c r="O53">
        <f t="shared" si="0"/>
        <v>0</v>
      </c>
    </row>
    <row r="54" spans="1:15" x14ac:dyDescent="0.3">
      <c r="A54" t="s">
        <v>39</v>
      </c>
      <c r="B54" t="s">
        <v>31</v>
      </c>
      <c r="C54">
        <v>1</v>
      </c>
      <c r="D54">
        <v>0.63617640733718872</v>
      </c>
      <c r="E54">
        <v>1</v>
      </c>
      <c r="F54">
        <v>0.5513342022895813</v>
      </c>
      <c r="G54">
        <v>1</v>
      </c>
      <c r="H54">
        <v>0.78688317537307739</v>
      </c>
      <c r="I54">
        <v>0</v>
      </c>
      <c r="J54">
        <v>0.39654099941253662</v>
      </c>
      <c r="L54">
        <f>ABS(ABS(K54-C54)-1)</f>
        <v>0</v>
      </c>
      <c r="M54">
        <f>ABS(ABS(E54-K54)-1)</f>
        <v>0</v>
      </c>
      <c r="N54">
        <f>ABS(ABS(G54-K54)-1)</f>
        <v>0</v>
      </c>
      <c r="O54">
        <f t="shared" si="0"/>
        <v>1</v>
      </c>
    </row>
    <row r="55" spans="1:15" x14ac:dyDescent="0.3">
      <c r="A55" t="s">
        <v>12</v>
      </c>
      <c r="B55" t="s">
        <v>38</v>
      </c>
      <c r="C55">
        <v>0</v>
      </c>
      <c r="D55">
        <v>0.36412620544433588</v>
      </c>
      <c r="E55">
        <v>0</v>
      </c>
      <c r="F55">
        <v>0.45372551679611212</v>
      </c>
      <c r="G55">
        <v>0</v>
      </c>
      <c r="H55">
        <v>0.43836364150047302</v>
      </c>
      <c r="I55">
        <v>0</v>
      </c>
      <c r="J55">
        <v>0.35915112495422358</v>
      </c>
      <c r="L55">
        <f>ABS(ABS(K55-C55)-1)</f>
        <v>1</v>
      </c>
      <c r="M55">
        <f>ABS(ABS(E55-K55)-1)</f>
        <v>1</v>
      </c>
      <c r="N55">
        <f>ABS(ABS(G55-K55)-1)</f>
        <v>1</v>
      </c>
      <c r="O55">
        <f t="shared" si="0"/>
        <v>1</v>
      </c>
    </row>
    <row r="56" spans="1:15" x14ac:dyDescent="0.3">
      <c r="A56" t="s">
        <v>26</v>
      </c>
      <c r="B56" t="s">
        <v>24</v>
      </c>
      <c r="C56">
        <v>1</v>
      </c>
      <c r="D56">
        <v>0.59901964664459229</v>
      </c>
      <c r="E56">
        <v>1</v>
      </c>
      <c r="F56">
        <v>0.81020796298980713</v>
      </c>
      <c r="G56">
        <v>1</v>
      </c>
      <c r="H56">
        <v>0.53820538520812988</v>
      </c>
      <c r="I56">
        <v>0</v>
      </c>
      <c r="J56">
        <v>0.3143293559551239</v>
      </c>
      <c r="L56">
        <f>ABS(ABS(K56-C56)-1)</f>
        <v>0</v>
      </c>
      <c r="M56">
        <f>ABS(ABS(E56-K56)-1)</f>
        <v>0</v>
      </c>
      <c r="N56">
        <f>ABS(ABS(G56-K56)-1)</f>
        <v>0</v>
      </c>
      <c r="O56">
        <f t="shared" si="0"/>
        <v>1</v>
      </c>
    </row>
    <row r="57" spans="1:15" x14ac:dyDescent="0.3">
      <c r="A57" t="s">
        <v>28</v>
      </c>
      <c r="B57" t="s">
        <v>35</v>
      </c>
      <c r="C57">
        <v>0</v>
      </c>
      <c r="D57">
        <v>0.35246554017066961</v>
      </c>
      <c r="E57">
        <v>0</v>
      </c>
      <c r="F57">
        <v>0.40151569247245789</v>
      </c>
      <c r="G57">
        <v>0</v>
      </c>
      <c r="H57">
        <v>0.4371846616268158</v>
      </c>
      <c r="I57">
        <v>0</v>
      </c>
      <c r="J57">
        <v>5.1307331770658493E-2</v>
      </c>
      <c r="L57">
        <f>ABS(ABS(K57-C57)-1)</f>
        <v>1</v>
      </c>
      <c r="M57">
        <f>ABS(ABS(E57-K57)-1)</f>
        <v>1</v>
      </c>
      <c r="N57">
        <f>ABS(ABS(G57-K57)-1)</f>
        <v>1</v>
      </c>
      <c r="O57">
        <f t="shared" si="0"/>
        <v>1</v>
      </c>
    </row>
    <row r="58" spans="1:15" x14ac:dyDescent="0.3">
      <c r="A58" t="s">
        <v>37</v>
      </c>
      <c r="B58" t="s">
        <v>17</v>
      </c>
      <c r="C58">
        <v>1</v>
      </c>
      <c r="D58">
        <v>0.67722421884536743</v>
      </c>
      <c r="E58">
        <v>1</v>
      </c>
      <c r="F58">
        <v>0.6541898250579834</v>
      </c>
      <c r="G58">
        <v>1</v>
      </c>
      <c r="H58">
        <v>0.50391137599945068</v>
      </c>
      <c r="I58">
        <v>0</v>
      </c>
      <c r="J58">
        <v>0.15959362685680389</v>
      </c>
      <c r="L58">
        <f>ABS(ABS(K58-C58)-1)</f>
        <v>0</v>
      </c>
      <c r="M58">
        <f>ABS(ABS(E58-K58)-1)</f>
        <v>0</v>
      </c>
      <c r="N58">
        <f>ABS(ABS(G58-K58)-1)</f>
        <v>0</v>
      </c>
      <c r="O58">
        <f t="shared" si="0"/>
        <v>1</v>
      </c>
    </row>
    <row r="59" spans="1:15" x14ac:dyDescent="0.3">
      <c r="A59" t="s">
        <v>25</v>
      </c>
      <c r="B59" t="s">
        <v>23</v>
      </c>
      <c r="C59">
        <v>1</v>
      </c>
      <c r="D59">
        <v>0.57840561866760254</v>
      </c>
      <c r="E59">
        <v>1</v>
      </c>
      <c r="F59">
        <v>0.69045805931091309</v>
      </c>
      <c r="G59">
        <v>1</v>
      </c>
      <c r="H59">
        <v>0.61132943630218506</v>
      </c>
      <c r="I59">
        <v>1</v>
      </c>
      <c r="J59">
        <v>0.71257865428924561</v>
      </c>
      <c r="L59">
        <f>ABS(ABS(K59-C59)-1)</f>
        <v>0</v>
      </c>
      <c r="M59">
        <f>ABS(ABS(E59-K59)-1)</f>
        <v>0</v>
      </c>
      <c r="N59">
        <f>ABS(ABS(G59-K59)-1)</f>
        <v>0</v>
      </c>
      <c r="O59">
        <f t="shared" si="0"/>
        <v>0</v>
      </c>
    </row>
    <row r="60" spans="1:15" x14ac:dyDescent="0.3">
      <c r="A60" t="s">
        <v>19</v>
      </c>
      <c r="B60" t="s">
        <v>33</v>
      </c>
      <c r="C60">
        <v>1</v>
      </c>
      <c r="D60">
        <v>0.95294630527496338</v>
      </c>
      <c r="E60">
        <v>1</v>
      </c>
      <c r="F60">
        <v>0.78117108345031738</v>
      </c>
      <c r="G60">
        <v>1</v>
      </c>
      <c r="H60">
        <v>0.71123254299163818</v>
      </c>
      <c r="I60">
        <v>0</v>
      </c>
      <c r="J60">
        <v>0.26165786385536188</v>
      </c>
      <c r="L60">
        <f>ABS(ABS(K60-C60)-1)</f>
        <v>0</v>
      </c>
      <c r="M60">
        <f>ABS(ABS(E60-K60)-1)</f>
        <v>0</v>
      </c>
      <c r="N60">
        <f>ABS(ABS(G60-K60)-1)</f>
        <v>0</v>
      </c>
      <c r="O60">
        <f t="shared" si="0"/>
        <v>1</v>
      </c>
    </row>
    <row r="61" spans="1:15" x14ac:dyDescent="0.3">
      <c r="A61" t="s">
        <v>8</v>
      </c>
      <c r="B61" t="s">
        <v>34</v>
      </c>
      <c r="C61">
        <v>1</v>
      </c>
      <c r="D61">
        <v>0.62367188930511475</v>
      </c>
      <c r="E61">
        <v>1</v>
      </c>
      <c r="F61">
        <v>0.61545699834823608</v>
      </c>
      <c r="G61">
        <v>1</v>
      </c>
      <c r="H61">
        <v>0.68200290203094482</v>
      </c>
      <c r="I61">
        <v>1</v>
      </c>
      <c r="J61">
        <v>0.74422454833984375</v>
      </c>
      <c r="L61">
        <f>ABS(ABS(K61-C61)-1)</f>
        <v>0</v>
      </c>
      <c r="M61">
        <f>ABS(ABS(E61-K61)-1)</f>
        <v>0</v>
      </c>
      <c r="N61">
        <f>ABS(ABS(G61-K61)-1)</f>
        <v>0</v>
      </c>
      <c r="O61">
        <f t="shared" si="0"/>
        <v>0</v>
      </c>
    </row>
    <row r="62" spans="1:15" x14ac:dyDescent="0.3">
      <c r="A62" t="s">
        <v>20</v>
      </c>
      <c r="B62" t="s">
        <v>13</v>
      </c>
      <c r="C62">
        <v>1</v>
      </c>
      <c r="D62">
        <v>0.81511920690536499</v>
      </c>
      <c r="E62">
        <v>1</v>
      </c>
      <c r="F62">
        <v>0.75270533561706543</v>
      </c>
      <c r="G62">
        <v>1</v>
      </c>
      <c r="H62">
        <v>0.72455668449401855</v>
      </c>
      <c r="I62">
        <v>0</v>
      </c>
      <c r="J62">
        <v>0.41827541589736938</v>
      </c>
      <c r="L62">
        <f>ABS(ABS(K62-C62)-1)</f>
        <v>0</v>
      </c>
      <c r="M62">
        <f>ABS(ABS(E62-K62)-1)</f>
        <v>0</v>
      </c>
      <c r="N62">
        <f>ABS(ABS(G62-K62)-1)</f>
        <v>0</v>
      </c>
      <c r="O62">
        <f t="shared" si="0"/>
        <v>1</v>
      </c>
    </row>
    <row r="63" spans="1:15" x14ac:dyDescent="0.3">
      <c r="A63" t="s">
        <v>18</v>
      </c>
      <c r="B63" t="s">
        <v>29</v>
      </c>
      <c r="C63">
        <v>1</v>
      </c>
      <c r="D63">
        <v>0.80717647075653076</v>
      </c>
      <c r="E63">
        <v>1</v>
      </c>
      <c r="F63">
        <v>0.71712565422058105</v>
      </c>
      <c r="G63">
        <v>1</v>
      </c>
      <c r="H63">
        <v>0.60002005100250244</v>
      </c>
      <c r="I63">
        <v>1</v>
      </c>
      <c r="J63">
        <v>0.62964910268783569</v>
      </c>
      <c r="L63">
        <f>ABS(ABS(K63-C63)-1)</f>
        <v>0</v>
      </c>
      <c r="M63">
        <f>ABS(ABS(E63-K63)-1)</f>
        <v>0</v>
      </c>
      <c r="N63">
        <f>ABS(ABS(G63-K63)-1)</f>
        <v>0</v>
      </c>
      <c r="O63">
        <f t="shared" si="0"/>
        <v>0</v>
      </c>
    </row>
    <row r="64" spans="1:15" x14ac:dyDescent="0.3">
      <c r="A64" t="s">
        <v>36</v>
      </c>
      <c r="B64" t="s">
        <v>10</v>
      </c>
      <c r="C64">
        <v>1</v>
      </c>
      <c r="D64">
        <v>0.50320696830749512</v>
      </c>
      <c r="E64">
        <v>0</v>
      </c>
      <c r="F64">
        <v>0.47780284285545349</v>
      </c>
      <c r="G64">
        <v>0</v>
      </c>
      <c r="H64">
        <v>0.44130256772041321</v>
      </c>
      <c r="I64">
        <v>0</v>
      </c>
      <c r="J64">
        <v>0.46650516986846918</v>
      </c>
      <c r="L64">
        <f>ABS(ABS(K64-C64)-1)</f>
        <v>0</v>
      </c>
      <c r="M64">
        <f>ABS(ABS(E64-K64)-1)</f>
        <v>1</v>
      </c>
      <c r="N64">
        <f>ABS(ABS(G64-K64)-1)</f>
        <v>1</v>
      </c>
      <c r="O64">
        <f t="shared" si="0"/>
        <v>1</v>
      </c>
    </row>
    <row r="65" spans="1:15" x14ac:dyDescent="0.3">
      <c r="A65" t="s">
        <v>31</v>
      </c>
      <c r="B65" t="s">
        <v>8</v>
      </c>
      <c r="C65">
        <v>0</v>
      </c>
      <c r="D65">
        <v>0.1709681302309036</v>
      </c>
      <c r="E65">
        <v>0</v>
      </c>
      <c r="F65">
        <v>0.33660635352134699</v>
      </c>
      <c r="G65">
        <v>0</v>
      </c>
      <c r="H65">
        <v>0.33545511960983282</v>
      </c>
      <c r="I65">
        <v>0</v>
      </c>
      <c r="J65">
        <v>0.13575337827205661</v>
      </c>
      <c r="L65">
        <f>ABS(ABS(K65-C65)-1)</f>
        <v>1</v>
      </c>
      <c r="M65">
        <f>ABS(ABS(E65-K65)-1)</f>
        <v>1</v>
      </c>
      <c r="N65">
        <f>ABS(ABS(G65-K65)-1)</f>
        <v>1</v>
      </c>
      <c r="O65">
        <f t="shared" si="0"/>
        <v>1</v>
      </c>
    </row>
    <row r="66" spans="1:15" x14ac:dyDescent="0.3">
      <c r="A66" t="s">
        <v>11</v>
      </c>
      <c r="B66" t="s">
        <v>37</v>
      </c>
      <c r="C66">
        <v>1</v>
      </c>
      <c r="D66">
        <v>0.59092962741851807</v>
      </c>
      <c r="E66">
        <v>1</v>
      </c>
      <c r="F66">
        <v>0.61205160617828369</v>
      </c>
      <c r="G66">
        <v>1</v>
      </c>
      <c r="H66">
        <v>0.77588927745819092</v>
      </c>
      <c r="I66">
        <v>1</v>
      </c>
      <c r="J66">
        <v>0.84229373931884766</v>
      </c>
      <c r="L66">
        <f>ABS(ABS(K66-C66)-1)</f>
        <v>0</v>
      </c>
      <c r="M66">
        <f>ABS(ABS(E66-K66)-1)</f>
        <v>0</v>
      </c>
      <c r="N66">
        <f>ABS(ABS(G66-K66)-1)</f>
        <v>0</v>
      </c>
      <c r="O66">
        <f t="shared" si="0"/>
        <v>0</v>
      </c>
    </row>
    <row r="67" spans="1:15" x14ac:dyDescent="0.3">
      <c r="A67" t="s">
        <v>33</v>
      </c>
      <c r="B67" t="s">
        <v>39</v>
      </c>
      <c r="C67">
        <v>0</v>
      </c>
      <c r="D67">
        <v>0.40250304341316218</v>
      </c>
      <c r="E67">
        <v>0</v>
      </c>
      <c r="F67">
        <v>0.48420774936676031</v>
      </c>
      <c r="G67">
        <v>1</v>
      </c>
      <c r="H67">
        <v>0.50434184074401855</v>
      </c>
      <c r="I67">
        <v>0</v>
      </c>
      <c r="J67">
        <v>0.2546599805355072</v>
      </c>
      <c r="L67">
        <f>ABS(ABS(K67-C67)-1)</f>
        <v>1</v>
      </c>
      <c r="M67">
        <f>ABS(ABS(E67-K67)-1)</f>
        <v>1</v>
      </c>
      <c r="N67">
        <f>ABS(ABS(G67-K67)-1)</f>
        <v>0</v>
      </c>
      <c r="O67">
        <f t="shared" ref="O67:O79" si="1">ABS(ABS(I67-K67)-1)</f>
        <v>1</v>
      </c>
    </row>
    <row r="68" spans="1:15" x14ac:dyDescent="0.3">
      <c r="A68" t="s">
        <v>32</v>
      </c>
      <c r="B68" t="s">
        <v>19</v>
      </c>
      <c r="C68">
        <v>1</v>
      </c>
      <c r="D68">
        <v>0.52193987369537354</v>
      </c>
      <c r="E68">
        <v>0</v>
      </c>
      <c r="F68">
        <v>0.49654790759086609</v>
      </c>
      <c r="G68">
        <v>1</v>
      </c>
      <c r="H68">
        <v>0.63714039325714111</v>
      </c>
      <c r="I68">
        <v>1</v>
      </c>
      <c r="J68">
        <v>0.53713142871856689</v>
      </c>
      <c r="L68">
        <f>ABS(ABS(K68-C68)-1)</f>
        <v>0</v>
      </c>
      <c r="M68">
        <f>ABS(ABS(E68-K68)-1)</f>
        <v>1</v>
      </c>
      <c r="N68">
        <f>ABS(ABS(G68-K68)-1)</f>
        <v>0</v>
      </c>
      <c r="O68">
        <f t="shared" si="1"/>
        <v>0</v>
      </c>
    </row>
    <row r="69" spans="1:15" x14ac:dyDescent="0.3">
      <c r="A69" t="s">
        <v>9</v>
      </c>
      <c r="B69" t="s">
        <v>12</v>
      </c>
      <c r="C69">
        <v>1</v>
      </c>
      <c r="D69">
        <v>0.69923806190490723</v>
      </c>
      <c r="E69">
        <v>1</v>
      </c>
      <c r="F69">
        <v>0.71860432624816895</v>
      </c>
      <c r="G69">
        <v>1</v>
      </c>
      <c r="H69">
        <v>0.53455460071563721</v>
      </c>
      <c r="I69">
        <v>1</v>
      </c>
      <c r="J69">
        <v>0.56173849105834961</v>
      </c>
      <c r="L69">
        <f>ABS(ABS(K69-C69)-1)</f>
        <v>0</v>
      </c>
      <c r="M69">
        <f>ABS(ABS(E69-K69)-1)</f>
        <v>0</v>
      </c>
      <c r="N69">
        <f>ABS(ABS(G69-K69)-1)</f>
        <v>0</v>
      </c>
      <c r="O69">
        <f t="shared" si="1"/>
        <v>0</v>
      </c>
    </row>
    <row r="70" spans="1:15" x14ac:dyDescent="0.3">
      <c r="A70" t="s">
        <v>26</v>
      </c>
      <c r="B70" t="s">
        <v>30</v>
      </c>
      <c r="C70">
        <v>0</v>
      </c>
      <c r="D70">
        <v>0.10933665186166761</v>
      </c>
      <c r="E70">
        <v>0</v>
      </c>
      <c r="F70">
        <v>0.37274789810180659</v>
      </c>
      <c r="G70">
        <v>0</v>
      </c>
      <c r="H70">
        <v>0.30743339657783508</v>
      </c>
      <c r="I70">
        <v>0</v>
      </c>
      <c r="J70">
        <v>0.157444953918457</v>
      </c>
      <c r="L70">
        <f>ABS(ABS(K70-C70)-1)</f>
        <v>1</v>
      </c>
      <c r="M70">
        <f>ABS(ABS(E70-K70)-1)</f>
        <v>1</v>
      </c>
      <c r="N70">
        <f>ABS(ABS(G70-K70)-1)</f>
        <v>1</v>
      </c>
      <c r="O70">
        <f t="shared" si="1"/>
        <v>1</v>
      </c>
    </row>
    <row r="71" spans="1:15" x14ac:dyDescent="0.3">
      <c r="A71" t="s">
        <v>13</v>
      </c>
      <c r="B71" t="s">
        <v>25</v>
      </c>
      <c r="C71">
        <v>0</v>
      </c>
      <c r="D71">
        <v>0.28971809148788452</v>
      </c>
      <c r="E71">
        <v>0</v>
      </c>
      <c r="F71">
        <v>0.35972359776496893</v>
      </c>
      <c r="G71">
        <v>0</v>
      </c>
      <c r="H71">
        <v>0.38396972417831421</v>
      </c>
      <c r="I71">
        <v>1</v>
      </c>
      <c r="J71">
        <v>0.73128223419189453</v>
      </c>
      <c r="L71">
        <f>ABS(ABS(K71-C71)-1)</f>
        <v>1</v>
      </c>
      <c r="M71">
        <f>ABS(ABS(E71-K71)-1)</f>
        <v>1</v>
      </c>
      <c r="N71">
        <f>ABS(ABS(G71-K71)-1)</f>
        <v>1</v>
      </c>
      <c r="O71">
        <f t="shared" si="1"/>
        <v>0</v>
      </c>
    </row>
    <row r="72" spans="1:15" x14ac:dyDescent="0.3">
      <c r="A72" t="s">
        <v>16</v>
      </c>
      <c r="B72" t="s">
        <v>21</v>
      </c>
      <c r="C72">
        <v>0</v>
      </c>
      <c r="D72">
        <v>0.3735041618347168</v>
      </c>
      <c r="E72">
        <v>0</v>
      </c>
      <c r="F72">
        <v>0.44914776086807251</v>
      </c>
      <c r="G72">
        <v>0</v>
      </c>
      <c r="H72">
        <v>0.32640749216079712</v>
      </c>
      <c r="I72">
        <v>0</v>
      </c>
      <c r="J72">
        <v>0.2621193528175354</v>
      </c>
      <c r="L72">
        <f>ABS(ABS(K72-C72)-1)</f>
        <v>1</v>
      </c>
      <c r="M72">
        <f>ABS(ABS(E72-K72)-1)</f>
        <v>1</v>
      </c>
      <c r="N72">
        <f>ABS(ABS(G72-K72)-1)</f>
        <v>1</v>
      </c>
      <c r="O72">
        <f t="shared" si="1"/>
        <v>1</v>
      </c>
    </row>
    <row r="73" spans="1:15" x14ac:dyDescent="0.3">
      <c r="A73" t="s">
        <v>18</v>
      </c>
      <c r="B73" t="s">
        <v>17</v>
      </c>
      <c r="C73">
        <v>1</v>
      </c>
      <c r="D73">
        <v>0.71246141195297241</v>
      </c>
      <c r="E73">
        <v>1</v>
      </c>
      <c r="F73">
        <v>0.54841256141662598</v>
      </c>
      <c r="G73">
        <v>1</v>
      </c>
      <c r="H73">
        <v>0.72559791803359985</v>
      </c>
      <c r="I73">
        <v>0</v>
      </c>
      <c r="J73">
        <v>0.46666857600212103</v>
      </c>
      <c r="L73">
        <f>ABS(ABS(K73-C73)-1)</f>
        <v>0</v>
      </c>
      <c r="M73">
        <f>ABS(ABS(E73-K73)-1)</f>
        <v>0</v>
      </c>
      <c r="N73">
        <f>ABS(ABS(G73-K73)-1)</f>
        <v>0</v>
      </c>
      <c r="O73">
        <f t="shared" si="1"/>
        <v>1</v>
      </c>
    </row>
    <row r="74" spans="1:15" x14ac:dyDescent="0.3">
      <c r="A74" t="s">
        <v>20</v>
      </c>
      <c r="B74" t="s">
        <v>24</v>
      </c>
      <c r="C74">
        <v>1</v>
      </c>
      <c r="D74">
        <v>0.54106760025024414</v>
      </c>
      <c r="E74">
        <v>0</v>
      </c>
      <c r="F74">
        <v>0.47629746794700623</v>
      </c>
      <c r="G74">
        <v>0</v>
      </c>
      <c r="H74">
        <v>0.44940647482872009</v>
      </c>
      <c r="I74">
        <v>0</v>
      </c>
      <c r="J74">
        <v>0.4489675760269165</v>
      </c>
      <c r="L74">
        <f>ABS(ABS(K74-C74)-1)</f>
        <v>0</v>
      </c>
      <c r="M74">
        <f>ABS(ABS(E74-K74)-1)</f>
        <v>1</v>
      </c>
      <c r="N74">
        <f>ABS(ABS(G74-K74)-1)</f>
        <v>1</v>
      </c>
      <c r="O74">
        <f t="shared" si="1"/>
        <v>1</v>
      </c>
    </row>
    <row r="75" spans="1:15" x14ac:dyDescent="0.3">
      <c r="A75" t="s">
        <v>22</v>
      </c>
      <c r="B75" t="s">
        <v>38</v>
      </c>
      <c r="C75">
        <v>0</v>
      </c>
      <c r="D75">
        <v>0.15871474146842959</v>
      </c>
      <c r="E75">
        <v>0</v>
      </c>
      <c r="F75">
        <v>0.30556806921958918</v>
      </c>
      <c r="G75">
        <v>0</v>
      </c>
      <c r="H75">
        <v>0.26226764917373657</v>
      </c>
      <c r="I75">
        <v>0</v>
      </c>
      <c r="J75">
        <v>0.39204388856887817</v>
      </c>
      <c r="L75">
        <f>ABS(ABS(K75-C75)-1)</f>
        <v>1</v>
      </c>
      <c r="M75">
        <f>ABS(ABS(E75-K75)-1)</f>
        <v>1</v>
      </c>
      <c r="N75">
        <f>ABS(ABS(G75-K75)-1)</f>
        <v>1</v>
      </c>
      <c r="O75">
        <f t="shared" si="1"/>
        <v>1</v>
      </c>
    </row>
    <row r="76" spans="1:15" x14ac:dyDescent="0.3">
      <c r="A76" t="s">
        <v>28</v>
      </c>
      <c r="B76" t="s">
        <v>34</v>
      </c>
      <c r="C76">
        <v>0</v>
      </c>
      <c r="D76">
        <v>0.40941935777664179</v>
      </c>
      <c r="E76">
        <v>0</v>
      </c>
      <c r="F76">
        <v>0.45768073201179499</v>
      </c>
      <c r="G76">
        <v>0</v>
      </c>
      <c r="H76">
        <v>0.46510875225067139</v>
      </c>
      <c r="I76">
        <v>0</v>
      </c>
      <c r="J76">
        <v>0.12207313627004621</v>
      </c>
      <c r="L76">
        <f>ABS(ABS(K76-C76)-1)</f>
        <v>1</v>
      </c>
      <c r="M76">
        <f>ABS(ABS(E76-K76)-1)</f>
        <v>1</v>
      </c>
      <c r="N76">
        <f>ABS(ABS(G76-K76)-1)</f>
        <v>1</v>
      </c>
      <c r="O76">
        <f t="shared" si="1"/>
        <v>1</v>
      </c>
    </row>
    <row r="77" spans="1:15" x14ac:dyDescent="0.3">
      <c r="A77" t="s">
        <v>35</v>
      </c>
      <c r="B77" t="s">
        <v>14</v>
      </c>
      <c r="C77">
        <v>0</v>
      </c>
      <c r="D77">
        <v>0.49030676484107971</v>
      </c>
      <c r="E77">
        <v>0</v>
      </c>
      <c r="F77">
        <v>0.47032490372657781</v>
      </c>
      <c r="G77">
        <v>1</v>
      </c>
      <c r="H77">
        <v>0.69118809700012207</v>
      </c>
      <c r="I77">
        <v>1</v>
      </c>
      <c r="J77">
        <v>0.62625354528427124</v>
      </c>
      <c r="L77">
        <f>ABS(ABS(K77-C77)-1)</f>
        <v>1</v>
      </c>
      <c r="M77">
        <f>ABS(ABS(E77-K77)-1)</f>
        <v>1</v>
      </c>
      <c r="N77">
        <f>ABS(ABS(G77-K77)-1)</f>
        <v>0</v>
      </c>
      <c r="O77">
        <f t="shared" si="1"/>
        <v>0</v>
      </c>
    </row>
    <row r="78" spans="1:15" x14ac:dyDescent="0.3">
      <c r="A78" t="s">
        <v>29</v>
      </c>
      <c r="B78" t="s">
        <v>15</v>
      </c>
      <c r="C78">
        <v>1</v>
      </c>
      <c r="D78">
        <v>0.73728573322296143</v>
      </c>
      <c r="E78">
        <v>1</v>
      </c>
      <c r="F78">
        <v>0.66773557662963867</v>
      </c>
      <c r="G78">
        <v>1</v>
      </c>
      <c r="H78">
        <v>0.67091035842895508</v>
      </c>
      <c r="I78">
        <v>1</v>
      </c>
      <c r="J78">
        <v>0.64730727672576904</v>
      </c>
      <c r="L78">
        <f>ABS(ABS(K78-C78)-1)</f>
        <v>0</v>
      </c>
      <c r="M78">
        <f>ABS(ABS(E78-K78)-1)</f>
        <v>0</v>
      </c>
      <c r="N78">
        <f>ABS(ABS(G78-K78)-1)</f>
        <v>0</v>
      </c>
      <c r="O78">
        <f t="shared" si="1"/>
        <v>0</v>
      </c>
    </row>
    <row r="79" spans="1:15" x14ac:dyDescent="0.3">
      <c r="A79" t="s">
        <v>23</v>
      </c>
      <c r="B79" t="s">
        <v>27</v>
      </c>
      <c r="C79">
        <v>0</v>
      </c>
      <c r="D79">
        <v>0.27880904078483582</v>
      </c>
      <c r="E79">
        <v>0</v>
      </c>
      <c r="F79">
        <v>0.37897846102714539</v>
      </c>
      <c r="G79">
        <v>0</v>
      </c>
      <c r="H79">
        <v>0.26772201061248779</v>
      </c>
      <c r="I79">
        <v>0</v>
      </c>
      <c r="J79">
        <v>0.2694876492023468</v>
      </c>
      <c r="L79">
        <f>ABS(ABS(K79-C79)-1)</f>
        <v>1</v>
      </c>
      <c r="M79">
        <f>ABS(ABS(E79-K79)-1)</f>
        <v>1</v>
      </c>
      <c r="N79">
        <f>ABS(ABS(G79-K79)-1)</f>
        <v>1</v>
      </c>
      <c r="O79">
        <f t="shared" si="1"/>
        <v>1</v>
      </c>
    </row>
    <row r="80" spans="1:15" x14ac:dyDescent="0.3">
      <c r="L80">
        <f>SUM(L2:L79)/78</f>
        <v>0.38461538461538464</v>
      </c>
      <c r="M80">
        <f t="shared" ref="M80:N80" si="2">SUM(M2:M79)/78</f>
        <v>0.46153846153846156</v>
      </c>
      <c r="N80">
        <f>SUM(N2:N79)/78</f>
        <v>0.38461538461538464</v>
      </c>
      <c r="O80">
        <f>SUM(O2:O79)/78</f>
        <v>0.51282051282051277</v>
      </c>
    </row>
  </sheetData>
  <conditionalFormatting sqref="L2:N8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num" val="0"/>
        <cfvo type="num" val="1"/>
        <color rgb="FFFF7128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Muel</cp:lastModifiedBy>
  <dcterms:created xsi:type="dcterms:W3CDTF">2025-11-28T10:13:23Z</dcterms:created>
  <dcterms:modified xsi:type="dcterms:W3CDTF">2025-12-01T20:36:30Z</dcterms:modified>
</cp:coreProperties>
</file>