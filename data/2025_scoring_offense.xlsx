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4ED2D8ED-DF51-4DBD-A4A9-7255D42FE4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1" l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8" i="1"/>
  <c r="M9" i="1"/>
  <c r="M7" i="1"/>
  <c r="M6" i="1"/>
  <c r="M5" i="1"/>
  <c r="M4" i="1"/>
  <c r="M3" i="1"/>
  <c r="M2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<sst xmlns="http://schemas.openxmlformats.org/spreadsheetml/2006/main" count="48" uniqueCount="48">
  <si>
    <t>Team</t>
  </si>
  <si>
    <t>Tot</t>
  </si>
  <si>
    <t>R</t>
  </si>
  <si>
    <t>P</t>
  </si>
  <si>
    <t>KR</t>
  </si>
  <si>
    <t>PR</t>
  </si>
  <si>
    <t>IR</t>
  </si>
  <si>
    <t>FR</t>
  </si>
  <si>
    <t>BK</t>
  </si>
  <si>
    <t>BP</t>
  </si>
  <si>
    <t>FGR</t>
  </si>
  <si>
    <t>PAT</t>
  </si>
  <si>
    <t>FG</t>
  </si>
  <si>
    <t>Conv</t>
  </si>
  <si>
    <t>Saf</t>
  </si>
  <si>
    <t>Pts</t>
  </si>
  <si>
    <t>Indianapolis Colts</t>
  </si>
  <si>
    <t>Detroit Lions</t>
  </si>
  <si>
    <t>Seattle Seahawks</t>
  </si>
  <si>
    <t>Dallas Cowboys</t>
  </si>
  <si>
    <t>New England Patriots</t>
  </si>
  <si>
    <t>Buffalo Bills</t>
  </si>
  <si>
    <t>Los Angeles Rams</t>
  </si>
  <si>
    <t>Chicago Bears</t>
  </si>
  <si>
    <t>San Francisco 49ers</t>
  </si>
  <si>
    <t>Kansas City Chiefs</t>
  </si>
  <si>
    <t>Baltimore Ravens</t>
  </si>
  <si>
    <t>Pittsburgh Steelers</t>
  </si>
  <si>
    <t>Jacksonville Jaguars</t>
  </si>
  <si>
    <t>New York Giants</t>
  </si>
  <si>
    <t>Green Bay Packers</t>
  </si>
  <si>
    <t>Tampa Bay Buccaneers</t>
  </si>
  <si>
    <t>Denver Broncos</t>
  </si>
  <si>
    <t>Philadelphia Eagles</t>
  </si>
  <si>
    <t>Arizona Cardinals</t>
  </si>
  <si>
    <t>Cincinnati Bengals</t>
  </si>
  <si>
    <t>Los Angeles Chargers</t>
  </si>
  <si>
    <t>Houston Texans</t>
  </si>
  <si>
    <t>Washington Commanders</t>
  </si>
  <si>
    <t>Miami Dolphins</t>
  </si>
  <si>
    <t>Minnesota Vikings</t>
  </si>
  <si>
    <t>Atlanta Falcons</t>
  </si>
  <si>
    <t>New York Jets</t>
  </si>
  <si>
    <t>Carolina Panthers</t>
  </si>
  <si>
    <t>Cleveland Browns</t>
  </si>
  <si>
    <t>Tennessee Titans</t>
  </si>
  <si>
    <t>Las Vegas Raiders</t>
  </si>
  <si>
    <t>New Orleans Saints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</si>
</sst>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AEAE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3" fillId="3" borderId="1" xfId="1" applyFill="1" applyBorder="1" applyAlignment="1">
      <alignment horizontal="left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4" borderId="3" xfId="1" applyFill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3" fillId="2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5" xfId="1" applyFill="1" applyBorder="1" applyAlignment="1">
      <alignment horizontal="left" vertical="center"/>
    </xf>
    <xf numFmtId="0" fontId="1" fillId="4" borderId="6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3" fillId="6" borderId="7" xfId="1" applyFill="1" applyBorder="1" applyAlignment="1">
      <alignment horizontal="left" vertical="center"/>
    </xf>
    <xf numFmtId="0" fontId="1" fillId="6" borderId="8" xfId="0" applyFont="1" applyFill="1" applyBorder="1" applyAlignment="1">
      <alignment horizontal="right" vertical="center" wrapText="1"/>
    </xf>
    <xf numFmtId="0" fontId="2" fillId="7" borderId="8" xfId="0" applyFont="1" applyFill="1" applyBorder="1" applyAlignment="1">
      <alignment horizontal="right" vertical="center" wrapText="1"/>
    </xf>
    <xf numFmtId="0" fontId="1" fillId="4" borderId="6" xfId="0" applyNumberFormat="1" applyFont="1" applyFill="1" applyBorder="1" applyAlignment="1">
      <alignment horizontal="right" vertical="center" wrapText="1"/>
    </xf>
    <xf numFmtId="0" fontId="1" fillId="2" borderId="6" xfId="0" applyNumberFormat="1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statistics/nfl/team-stats/offense-scoring/2025/regular-season?sort=kickfgm" TargetMode="External"/><Relationship Id="rId18" Type="http://schemas.openxmlformats.org/officeDocument/2006/relationships/hyperlink" Target="https://www.footballdb.com/teams/nfl/detroit-lions" TargetMode="External"/><Relationship Id="rId26" Type="http://schemas.openxmlformats.org/officeDocument/2006/relationships/hyperlink" Target="https://www.footballdb.com/teams/nfl/kansas-city-chiefs" TargetMode="External"/><Relationship Id="rId39" Type="http://schemas.openxmlformats.org/officeDocument/2006/relationships/hyperlink" Target="https://www.footballdb.com/teams/nfl/washington-commanders" TargetMode="External"/><Relationship Id="rId21" Type="http://schemas.openxmlformats.org/officeDocument/2006/relationships/hyperlink" Target="https://www.footballdb.com/teams/nfl/new-england-patriots" TargetMode="External"/><Relationship Id="rId34" Type="http://schemas.openxmlformats.org/officeDocument/2006/relationships/hyperlink" Target="https://www.footballdb.com/teams/nfl/philadelphia-eagles" TargetMode="External"/><Relationship Id="rId42" Type="http://schemas.openxmlformats.org/officeDocument/2006/relationships/hyperlink" Target="https://www.footballdb.com/teams/nfl/atlanta-falcons" TargetMode="External"/><Relationship Id="rId47" Type="http://schemas.openxmlformats.org/officeDocument/2006/relationships/hyperlink" Target="https://www.footballdb.com/teams/nfl/las-vegas-raiders" TargetMode="External"/><Relationship Id="rId7" Type="http://schemas.openxmlformats.org/officeDocument/2006/relationships/hyperlink" Target="https://www.footballdb.com/statistics/nfl/team-stats/offense-scoring/2025/regular-season?sort=deftds" TargetMode="External"/><Relationship Id="rId2" Type="http://schemas.openxmlformats.org/officeDocument/2006/relationships/hyperlink" Target="https://www.footballdb.com/statistics/nfl/team-stats/offense-scoring/2025/regular-season?sort=tottds" TargetMode="External"/><Relationship Id="rId16" Type="http://schemas.openxmlformats.org/officeDocument/2006/relationships/hyperlink" Target="https://www.footballdb.com/statistics/nfl/team-stats/offense-scoring/2025/regular-season?sort=totpts" TargetMode="External"/><Relationship Id="rId29" Type="http://schemas.openxmlformats.org/officeDocument/2006/relationships/hyperlink" Target="https://www.footballdb.com/teams/nfl/jacksonville-jaguars" TargetMode="External"/><Relationship Id="rId1" Type="http://schemas.openxmlformats.org/officeDocument/2006/relationships/hyperlink" Target="https://www.footballdb.com/statistics/nfl/team-stats/offense-scoring/2025/regular-season?sort=teamname" TargetMode="External"/><Relationship Id="rId6" Type="http://schemas.openxmlformats.org/officeDocument/2006/relationships/hyperlink" Target="https://www.footballdb.com/statistics/nfl/team-stats/offense-scoring/2025/regular-season?sort=prtds" TargetMode="External"/><Relationship Id="rId11" Type="http://schemas.openxmlformats.org/officeDocument/2006/relationships/hyperlink" Target="https://www.footballdb.com/statistics/nfl/team-stats/offense-scoring/2025/regular-season?sort=nrtds" TargetMode="External"/><Relationship Id="rId24" Type="http://schemas.openxmlformats.org/officeDocument/2006/relationships/hyperlink" Target="https://www.footballdb.com/teams/nfl/chicago-bears" TargetMode="External"/><Relationship Id="rId32" Type="http://schemas.openxmlformats.org/officeDocument/2006/relationships/hyperlink" Target="https://www.footballdb.com/teams/nfl/tampa-bay-buccaneers" TargetMode="External"/><Relationship Id="rId37" Type="http://schemas.openxmlformats.org/officeDocument/2006/relationships/hyperlink" Target="https://www.footballdb.com/teams/nfl/los-angeles-chargers" TargetMode="External"/><Relationship Id="rId40" Type="http://schemas.openxmlformats.org/officeDocument/2006/relationships/hyperlink" Target="https://www.footballdb.com/teams/nfl/miami-dolphins" TargetMode="External"/><Relationship Id="rId45" Type="http://schemas.openxmlformats.org/officeDocument/2006/relationships/hyperlink" Target="https://www.footballdb.com/teams/nfl/cleveland-browns" TargetMode="External"/><Relationship Id="rId5" Type="http://schemas.openxmlformats.org/officeDocument/2006/relationships/hyperlink" Target="https://www.footballdb.com/statistics/nfl/team-stats/offense-scoring/2025/regular-season?sort=krtds" TargetMode="External"/><Relationship Id="rId15" Type="http://schemas.openxmlformats.org/officeDocument/2006/relationships/hyperlink" Target="https://www.footballdb.com/statistics/nfl/team-stats/offense-scoring/2025/regular-season?sort=safety" TargetMode="External"/><Relationship Id="rId23" Type="http://schemas.openxmlformats.org/officeDocument/2006/relationships/hyperlink" Target="https://www.footballdb.com/teams/nfl/los-angeles-rams" TargetMode="External"/><Relationship Id="rId28" Type="http://schemas.openxmlformats.org/officeDocument/2006/relationships/hyperlink" Target="https://www.footballdb.com/teams/nfl/pittsburgh-steelers" TargetMode="External"/><Relationship Id="rId36" Type="http://schemas.openxmlformats.org/officeDocument/2006/relationships/hyperlink" Target="https://www.footballdb.com/teams/nfl/cincinnati-bengals" TargetMode="External"/><Relationship Id="rId10" Type="http://schemas.openxmlformats.org/officeDocument/2006/relationships/hyperlink" Target="https://www.footballdb.com/statistics/nfl/team-stats/offense-scoring/2025/regular-season?sort=bptds" TargetMode="External"/><Relationship Id="rId19" Type="http://schemas.openxmlformats.org/officeDocument/2006/relationships/hyperlink" Target="https://www.footballdb.com/teams/nfl/seattle-seahawks" TargetMode="External"/><Relationship Id="rId31" Type="http://schemas.openxmlformats.org/officeDocument/2006/relationships/hyperlink" Target="https://www.footballdb.com/teams/nfl/green-bay-packers" TargetMode="External"/><Relationship Id="rId44" Type="http://schemas.openxmlformats.org/officeDocument/2006/relationships/hyperlink" Target="https://www.footballdb.com/teams/nfl/carolina-panthers" TargetMode="External"/><Relationship Id="rId4" Type="http://schemas.openxmlformats.org/officeDocument/2006/relationships/hyperlink" Target="https://www.footballdb.com/statistics/nfl/team-stats/offense-scoring/2025/regular-season?sort=passtds" TargetMode="External"/><Relationship Id="rId9" Type="http://schemas.openxmlformats.org/officeDocument/2006/relationships/hyperlink" Target="https://www.footballdb.com/statistics/nfl/team-stats/offense-scoring/2025/regular-season?sort=bktds" TargetMode="External"/><Relationship Id="rId14" Type="http://schemas.openxmlformats.org/officeDocument/2006/relationships/hyperlink" Target="https://www.footballdb.com/statistics/nfl/team-stats/offense-scoring/2025/regular-season?sort=tot2pt" TargetMode="External"/><Relationship Id="rId22" Type="http://schemas.openxmlformats.org/officeDocument/2006/relationships/hyperlink" Target="https://www.footballdb.com/teams/nfl/buffalo-bills" TargetMode="External"/><Relationship Id="rId27" Type="http://schemas.openxmlformats.org/officeDocument/2006/relationships/hyperlink" Target="https://www.footballdb.com/teams/nfl/baltimore-ravens" TargetMode="External"/><Relationship Id="rId30" Type="http://schemas.openxmlformats.org/officeDocument/2006/relationships/hyperlink" Target="https://www.footballdb.com/teams/nfl/new-york-giants" TargetMode="External"/><Relationship Id="rId35" Type="http://schemas.openxmlformats.org/officeDocument/2006/relationships/hyperlink" Target="https://www.footballdb.com/teams/nfl/arizona-cardinals" TargetMode="External"/><Relationship Id="rId43" Type="http://schemas.openxmlformats.org/officeDocument/2006/relationships/hyperlink" Target="https://www.footballdb.com/teams/nfl/new-york-jets" TargetMode="External"/><Relationship Id="rId48" Type="http://schemas.openxmlformats.org/officeDocument/2006/relationships/hyperlink" Target="https://www.footballdb.com/teams/nfl/new-orleans-saints" TargetMode="External"/><Relationship Id="rId8" Type="http://schemas.openxmlformats.org/officeDocument/2006/relationships/hyperlink" Target="https://www.footballdb.com/statistics/nfl/team-stats/offense-scoring/2025/regular-season?sort=fumtds" TargetMode="External"/><Relationship Id="rId3" Type="http://schemas.openxmlformats.org/officeDocument/2006/relationships/hyperlink" Target="https://www.footballdb.com/statistics/nfl/team-stats/offense-scoring/2025/regular-season?sort=rushtds" TargetMode="External"/><Relationship Id="rId12" Type="http://schemas.openxmlformats.org/officeDocument/2006/relationships/hyperlink" Target="https://www.footballdb.com/statistics/nfl/team-stats/offense-scoring/2025/regular-season?sort=kickxpm" TargetMode="External"/><Relationship Id="rId17" Type="http://schemas.openxmlformats.org/officeDocument/2006/relationships/hyperlink" Target="https://www.footballdb.com/teams/nfl/indianapolis-colts" TargetMode="External"/><Relationship Id="rId25" Type="http://schemas.openxmlformats.org/officeDocument/2006/relationships/hyperlink" Target="https://www.footballdb.com/teams/nfl/san-francisco-49ers" TargetMode="External"/><Relationship Id="rId33" Type="http://schemas.openxmlformats.org/officeDocument/2006/relationships/hyperlink" Target="https://www.footballdb.com/teams/nfl/denver-broncos" TargetMode="External"/><Relationship Id="rId38" Type="http://schemas.openxmlformats.org/officeDocument/2006/relationships/hyperlink" Target="https://www.footballdb.com/teams/nfl/houston-texans" TargetMode="External"/><Relationship Id="rId46" Type="http://schemas.openxmlformats.org/officeDocument/2006/relationships/hyperlink" Target="https://www.footballdb.com/teams/nfl/tennessee-titans" TargetMode="External"/><Relationship Id="rId20" Type="http://schemas.openxmlformats.org/officeDocument/2006/relationships/hyperlink" Target="https://www.footballdb.com/teams/nfl/dallas-cowboys" TargetMode="External"/><Relationship Id="rId41" Type="http://schemas.openxmlformats.org/officeDocument/2006/relationships/hyperlink" Target="https://www.footballdb.com/teams/nfl/minnesota-vik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A9" workbookViewId="0">
      <selection activeCell="M34" sqref="M34"/>
    </sheetView>
  </sheetViews>
  <sheetFormatPr baseColWidth="10" defaultColWidth="8.88671875" defaultRowHeight="14.4" x14ac:dyDescent="0.3"/>
  <sheetData>
    <row r="1" spans="1:1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" thickBot="1" x14ac:dyDescent="0.35">
      <c r="A2" s="3" t="s">
        <v>16</v>
      </c>
      <c r="B2" s="4">
        <v>40</v>
      </c>
      <c r="C2" s="4">
        <v>22</v>
      </c>
      <c r="D2" s="4">
        <v>17</v>
      </c>
      <c r="E2" s="4">
        <v>0</v>
      </c>
      <c r="F2" s="4">
        <v>0</v>
      </c>
      <c r="G2" s="4">
        <v>1</v>
      </c>
      <c r="H2" s="4">
        <v>0</v>
      </c>
      <c r="I2" s="4">
        <v>0</v>
      </c>
      <c r="J2" s="4">
        <v>0</v>
      </c>
      <c r="K2" s="4">
        <v>0</v>
      </c>
      <c r="L2" s="4">
        <f>31/33</f>
        <v>0.93939393939393945</v>
      </c>
      <c r="M2" s="4">
        <f>22/24</f>
        <v>0.91666666666666663</v>
      </c>
      <c r="N2" s="4">
        <v>2</v>
      </c>
      <c r="O2" s="4">
        <v>0</v>
      </c>
      <c r="P2" s="5">
        <v>341</v>
      </c>
    </row>
    <row r="3" spans="1:16" ht="15" thickBot="1" x14ac:dyDescent="0.35">
      <c r="A3" s="6" t="s">
        <v>17</v>
      </c>
      <c r="B3" s="7">
        <v>40</v>
      </c>
      <c r="C3" s="7">
        <v>15</v>
      </c>
      <c r="D3" s="7">
        <v>24</v>
      </c>
      <c r="E3" s="7">
        <v>0</v>
      </c>
      <c r="F3" s="7">
        <v>1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f>37/39</f>
        <v>0.94871794871794868</v>
      </c>
      <c r="M3" s="7">
        <f>15/19</f>
        <v>0.78947368421052633</v>
      </c>
      <c r="N3" s="7">
        <v>1</v>
      </c>
      <c r="O3" s="7">
        <v>1</v>
      </c>
      <c r="P3" s="8">
        <v>326</v>
      </c>
    </row>
    <row r="4" spans="1:16" ht="15" thickBot="1" x14ac:dyDescent="0.35">
      <c r="A4" s="9" t="s">
        <v>18</v>
      </c>
      <c r="B4" s="10">
        <v>36</v>
      </c>
      <c r="C4" s="10">
        <v>13</v>
      </c>
      <c r="D4" s="10">
        <v>19</v>
      </c>
      <c r="E4" s="10">
        <v>0</v>
      </c>
      <c r="F4" s="10">
        <v>1</v>
      </c>
      <c r="G4" s="10">
        <v>0</v>
      </c>
      <c r="H4" s="10">
        <v>2</v>
      </c>
      <c r="I4" s="10">
        <v>0</v>
      </c>
      <c r="J4" s="10">
        <v>0</v>
      </c>
      <c r="K4" s="10">
        <v>0</v>
      </c>
      <c r="L4" s="10">
        <f>36/36</f>
        <v>1</v>
      </c>
      <c r="M4" s="10">
        <f>24/29</f>
        <v>0.82758620689655171</v>
      </c>
      <c r="N4" s="10">
        <v>0</v>
      </c>
      <c r="O4" s="10">
        <v>0</v>
      </c>
      <c r="P4" s="11">
        <v>324</v>
      </c>
    </row>
    <row r="5" spans="1:16" ht="15" thickBot="1" x14ac:dyDescent="0.35">
      <c r="A5" s="6" t="s">
        <v>19</v>
      </c>
      <c r="B5" s="7">
        <v>37</v>
      </c>
      <c r="C5" s="7">
        <v>11</v>
      </c>
      <c r="D5" s="7">
        <v>24</v>
      </c>
      <c r="E5" s="7">
        <v>0</v>
      </c>
      <c r="F5" s="7">
        <v>0</v>
      </c>
      <c r="G5" s="7">
        <v>1</v>
      </c>
      <c r="H5" s="7">
        <v>0</v>
      </c>
      <c r="I5" s="7">
        <v>0</v>
      </c>
      <c r="J5" s="7">
        <v>1</v>
      </c>
      <c r="K5" s="7">
        <v>0</v>
      </c>
      <c r="L5" s="7">
        <f>35/36</f>
        <v>0.97222222222222221</v>
      </c>
      <c r="M5" s="7">
        <f>19/21</f>
        <v>0.90476190476190477</v>
      </c>
      <c r="N5" s="7">
        <v>1</v>
      </c>
      <c r="O5" s="7">
        <v>1</v>
      </c>
      <c r="P5" s="8">
        <v>320</v>
      </c>
    </row>
    <row r="6" spans="1:16" ht="15" thickBot="1" x14ac:dyDescent="0.35">
      <c r="A6" s="9" t="s">
        <v>20</v>
      </c>
      <c r="B6" s="10">
        <v>37</v>
      </c>
      <c r="C6" s="10">
        <v>12</v>
      </c>
      <c r="D6" s="10">
        <v>21</v>
      </c>
      <c r="E6" s="10">
        <v>1</v>
      </c>
      <c r="F6" s="10">
        <v>1</v>
      </c>
      <c r="G6" s="10">
        <v>1</v>
      </c>
      <c r="H6" s="10">
        <v>1</v>
      </c>
      <c r="I6" s="10">
        <v>0</v>
      </c>
      <c r="J6" s="10">
        <v>0</v>
      </c>
      <c r="K6" s="10">
        <v>0</v>
      </c>
      <c r="L6" s="10">
        <f>33/35</f>
        <v>0.94285714285714284</v>
      </c>
      <c r="M6" s="10">
        <f>19/21</f>
        <v>0.90476190476190477</v>
      </c>
      <c r="N6" s="10">
        <v>2</v>
      </c>
      <c r="O6" s="10">
        <v>1</v>
      </c>
      <c r="P6" s="11">
        <v>318</v>
      </c>
    </row>
    <row r="7" spans="1:16" ht="15" thickBot="1" x14ac:dyDescent="0.35">
      <c r="A7" s="6" t="s">
        <v>21</v>
      </c>
      <c r="B7" s="7">
        <v>39</v>
      </c>
      <c r="C7" s="7">
        <v>20</v>
      </c>
      <c r="D7" s="7">
        <v>18</v>
      </c>
      <c r="E7" s="7">
        <v>1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f>32/34</f>
        <v>0.94117647058823528</v>
      </c>
      <c r="M7" s="7">
        <f>15/17</f>
        <v>0.88235294117647056</v>
      </c>
      <c r="N7" s="7">
        <v>0</v>
      </c>
      <c r="O7" s="7">
        <v>0</v>
      </c>
      <c r="P7" s="8">
        <v>311</v>
      </c>
    </row>
    <row r="8" spans="1:16" ht="15" thickBot="1" x14ac:dyDescent="0.35">
      <c r="A8" s="9" t="s">
        <v>22</v>
      </c>
      <c r="B8" s="10">
        <v>39</v>
      </c>
      <c r="C8" s="10">
        <v>8</v>
      </c>
      <c r="D8" s="10">
        <v>30</v>
      </c>
      <c r="E8" s="10">
        <v>0</v>
      </c>
      <c r="F8" s="10">
        <v>0</v>
      </c>
      <c r="G8" s="10">
        <v>1</v>
      </c>
      <c r="H8" s="10">
        <v>0</v>
      </c>
      <c r="I8" s="10">
        <v>0</v>
      </c>
      <c r="J8" s="10">
        <v>0</v>
      </c>
      <c r="K8" s="10">
        <v>0</v>
      </c>
      <c r="L8" s="10">
        <f>36/39</f>
        <v>0.92307692307692313</v>
      </c>
      <c r="M8" s="15">
        <f>12/17</f>
        <v>0.70588235294117652</v>
      </c>
      <c r="N8" s="10">
        <v>0</v>
      </c>
      <c r="O8" s="10">
        <v>0</v>
      </c>
      <c r="P8" s="11">
        <v>306</v>
      </c>
    </row>
    <row r="9" spans="1:16" ht="15" thickBot="1" x14ac:dyDescent="0.35">
      <c r="A9" s="6" t="s">
        <v>23</v>
      </c>
      <c r="B9" s="7">
        <v>31</v>
      </c>
      <c r="C9" s="7">
        <v>13</v>
      </c>
      <c r="D9" s="7">
        <v>17</v>
      </c>
      <c r="E9" s="7">
        <v>0</v>
      </c>
      <c r="F9" s="7">
        <v>0</v>
      </c>
      <c r="G9" s="7">
        <v>1</v>
      </c>
      <c r="H9" s="7">
        <v>0</v>
      </c>
      <c r="I9" s="7">
        <v>0</v>
      </c>
      <c r="J9" s="7">
        <v>0</v>
      </c>
      <c r="K9" s="7">
        <v>0</v>
      </c>
      <c r="L9" s="7">
        <f>28/28</f>
        <v>1</v>
      </c>
      <c r="M9" s="7">
        <f>25/30</f>
        <v>0.83333333333333337</v>
      </c>
      <c r="N9" s="7">
        <v>0</v>
      </c>
      <c r="O9" s="7">
        <v>0</v>
      </c>
      <c r="P9" s="8">
        <v>289</v>
      </c>
    </row>
    <row r="10" spans="1:16" ht="15" thickBot="1" x14ac:dyDescent="0.35">
      <c r="A10" s="9" t="s">
        <v>24</v>
      </c>
      <c r="B10" s="10">
        <v>30</v>
      </c>
      <c r="C10" s="10">
        <v>9</v>
      </c>
      <c r="D10" s="10">
        <v>21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f>22/26</f>
        <v>0.84615384615384615</v>
      </c>
      <c r="M10" s="10">
        <f>25/27</f>
        <v>0.92592592592592593</v>
      </c>
      <c r="N10" s="10">
        <v>2</v>
      </c>
      <c r="O10" s="10">
        <v>0</v>
      </c>
      <c r="P10" s="11">
        <v>281</v>
      </c>
    </row>
    <row r="11" spans="1:16" ht="15" thickBot="1" x14ac:dyDescent="0.35">
      <c r="A11" s="6" t="s">
        <v>25</v>
      </c>
      <c r="B11" s="7">
        <v>31</v>
      </c>
      <c r="C11" s="7">
        <v>13</v>
      </c>
      <c r="D11" s="7">
        <v>18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f>24/28</f>
        <v>0.8571428571428571</v>
      </c>
      <c r="M11" s="7">
        <f>21/24</f>
        <v>0.875</v>
      </c>
      <c r="N11" s="7">
        <v>2</v>
      </c>
      <c r="O11" s="7">
        <v>0</v>
      </c>
      <c r="P11" s="8">
        <v>277</v>
      </c>
    </row>
    <row r="12" spans="1:16" ht="15" thickBot="1" x14ac:dyDescent="0.35">
      <c r="A12" s="9" t="s">
        <v>26</v>
      </c>
      <c r="B12" s="10">
        <v>30</v>
      </c>
      <c r="C12" s="10">
        <v>13</v>
      </c>
      <c r="D12" s="10">
        <v>16</v>
      </c>
      <c r="E12" s="10">
        <v>0</v>
      </c>
      <c r="F12" s="10">
        <v>0</v>
      </c>
      <c r="G12" s="10">
        <v>0</v>
      </c>
      <c r="H12" s="10">
        <v>1</v>
      </c>
      <c r="I12" s="10">
        <v>0</v>
      </c>
      <c r="J12" s="10">
        <v>0</v>
      </c>
      <c r="K12" s="10">
        <v>0</v>
      </c>
      <c r="L12" s="10">
        <f>27/28</f>
        <v>0.9642857142857143</v>
      </c>
      <c r="M12" s="10">
        <f>22/24</f>
        <v>0.91666666666666663</v>
      </c>
      <c r="N12" s="10">
        <v>1</v>
      </c>
      <c r="O12" s="10">
        <v>0</v>
      </c>
      <c r="P12" s="11">
        <v>275</v>
      </c>
    </row>
    <row r="13" spans="1:16" ht="15" thickBot="1" x14ac:dyDescent="0.35">
      <c r="A13" s="6" t="s">
        <v>27</v>
      </c>
      <c r="B13" s="7">
        <v>31</v>
      </c>
      <c r="C13" s="7">
        <v>7</v>
      </c>
      <c r="D13" s="7">
        <v>21</v>
      </c>
      <c r="E13" s="7">
        <v>0</v>
      </c>
      <c r="F13" s="7">
        <v>0</v>
      </c>
      <c r="G13" s="7">
        <v>1</v>
      </c>
      <c r="H13" s="7">
        <v>2</v>
      </c>
      <c r="I13" s="7">
        <v>0</v>
      </c>
      <c r="J13" s="7">
        <v>0</v>
      </c>
      <c r="K13" s="7">
        <v>0</v>
      </c>
      <c r="L13" s="7">
        <f>29/29</f>
        <v>1</v>
      </c>
      <c r="M13" s="7">
        <f>19/22</f>
        <v>0.86363636363636365</v>
      </c>
      <c r="N13" s="7">
        <v>1</v>
      </c>
      <c r="O13" s="7">
        <v>0</v>
      </c>
      <c r="P13" s="8">
        <v>274</v>
      </c>
    </row>
    <row r="14" spans="1:16" ht="15" thickBot="1" x14ac:dyDescent="0.35">
      <c r="A14" s="9" t="s">
        <v>28</v>
      </c>
      <c r="B14" s="10">
        <v>31</v>
      </c>
      <c r="C14" s="10">
        <v>14</v>
      </c>
      <c r="D14" s="10">
        <v>14</v>
      </c>
      <c r="E14" s="10">
        <v>0</v>
      </c>
      <c r="F14" s="10">
        <v>2</v>
      </c>
      <c r="G14" s="10">
        <v>1</v>
      </c>
      <c r="H14" s="10">
        <v>0</v>
      </c>
      <c r="I14" s="10">
        <v>0</v>
      </c>
      <c r="J14" s="10">
        <v>0</v>
      </c>
      <c r="K14" s="10">
        <v>0</v>
      </c>
      <c r="L14" s="10">
        <f>27/28</f>
        <v>0.9642857142857143</v>
      </c>
      <c r="M14" s="10">
        <f>18/22</f>
        <v>0.81818181818181823</v>
      </c>
      <c r="N14" s="10">
        <v>0</v>
      </c>
      <c r="O14" s="10">
        <v>0</v>
      </c>
      <c r="P14" s="11">
        <v>267</v>
      </c>
    </row>
    <row r="15" spans="1:16" ht="15" thickBot="1" x14ac:dyDescent="0.35">
      <c r="A15" s="6" t="s">
        <v>29</v>
      </c>
      <c r="B15" s="7">
        <v>32</v>
      </c>
      <c r="C15" s="7">
        <v>16</v>
      </c>
      <c r="D15" s="7">
        <v>16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f>25/30</f>
        <v>0.83333333333333337</v>
      </c>
      <c r="M15" s="7">
        <f>15/16</f>
        <v>0.9375</v>
      </c>
      <c r="N15" s="7">
        <v>1</v>
      </c>
      <c r="O15" s="7">
        <v>0</v>
      </c>
      <c r="P15" s="8">
        <v>264</v>
      </c>
    </row>
    <row r="16" spans="1:16" ht="15" thickBot="1" x14ac:dyDescent="0.35">
      <c r="A16" s="9" t="s">
        <v>30</v>
      </c>
      <c r="B16" s="10">
        <v>30</v>
      </c>
      <c r="C16" s="10">
        <v>14</v>
      </c>
      <c r="D16" s="10">
        <v>16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f>25/28</f>
        <v>0.8928571428571429</v>
      </c>
      <c r="M16" s="10">
        <f>18/24</f>
        <v>0.75</v>
      </c>
      <c r="N16" s="10">
        <v>2</v>
      </c>
      <c r="O16" s="10">
        <v>0</v>
      </c>
      <c r="P16" s="11">
        <v>263</v>
      </c>
    </row>
    <row r="17" spans="1:16" ht="15" thickBot="1" x14ac:dyDescent="0.35">
      <c r="A17" s="6" t="s">
        <v>31</v>
      </c>
      <c r="B17" s="7">
        <v>29</v>
      </c>
      <c r="C17" s="7">
        <v>9</v>
      </c>
      <c r="D17" s="7">
        <v>18</v>
      </c>
      <c r="E17" s="7">
        <v>0</v>
      </c>
      <c r="F17" s="7">
        <v>0</v>
      </c>
      <c r="G17" s="7">
        <v>2</v>
      </c>
      <c r="H17" s="7">
        <v>0</v>
      </c>
      <c r="I17" s="7">
        <v>0</v>
      </c>
      <c r="J17" s="7">
        <v>0</v>
      </c>
      <c r="K17" s="7">
        <v>0</v>
      </c>
      <c r="L17" s="7">
        <f>21/22</f>
        <v>0.95454545454545459</v>
      </c>
      <c r="M17" s="7">
        <f>20/24</f>
        <v>0.83333333333333337</v>
      </c>
      <c r="N17" s="7">
        <v>1</v>
      </c>
      <c r="O17" s="7">
        <v>1</v>
      </c>
      <c r="P17" s="8">
        <v>259</v>
      </c>
    </row>
    <row r="18" spans="1:16" ht="15" thickBot="1" x14ac:dyDescent="0.35">
      <c r="A18" s="9" t="s">
        <v>32</v>
      </c>
      <c r="B18" s="10">
        <v>29</v>
      </c>
      <c r="C18" s="10">
        <v>11</v>
      </c>
      <c r="D18" s="10">
        <v>18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f>24/24</f>
        <v>1</v>
      </c>
      <c r="M18" s="10">
        <f>17/20</f>
        <v>0.85</v>
      </c>
      <c r="N18" s="10">
        <v>4</v>
      </c>
      <c r="O18" s="10">
        <v>0</v>
      </c>
      <c r="P18" s="11">
        <v>257</v>
      </c>
    </row>
    <row r="19" spans="1:16" ht="15" thickBot="1" x14ac:dyDescent="0.35">
      <c r="A19" s="6" t="s">
        <v>33</v>
      </c>
      <c r="B19" s="7">
        <v>32</v>
      </c>
      <c r="C19" s="7">
        <v>12</v>
      </c>
      <c r="D19" s="7">
        <v>17</v>
      </c>
      <c r="E19" s="7">
        <v>0</v>
      </c>
      <c r="F19" s="7">
        <v>0</v>
      </c>
      <c r="G19" s="7">
        <v>1</v>
      </c>
      <c r="H19" s="7">
        <v>0</v>
      </c>
      <c r="I19" s="7">
        <v>1</v>
      </c>
      <c r="J19" s="7">
        <v>1</v>
      </c>
      <c r="K19" s="7">
        <v>0</v>
      </c>
      <c r="L19" s="7">
        <f>30/30</f>
        <v>1</v>
      </c>
      <c r="M19" s="16">
        <f>11/14</f>
        <v>0.7857142857142857</v>
      </c>
      <c r="N19" s="7">
        <v>0</v>
      </c>
      <c r="O19" s="7">
        <v>0</v>
      </c>
      <c r="P19" s="8">
        <v>255</v>
      </c>
    </row>
    <row r="20" spans="1:16" ht="15" thickBot="1" x14ac:dyDescent="0.35">
      <c r="A20" s="9" t="s">
        <v>34</v>
      </c>
      <c r="B20" s="10">
        <v>28</v>
      </c>
      <c r="C20" s="10">
        <v>9</v>
      </c>
      <c r="D20" s="10">
        <v>17</v>
      </c>
      <c r="E20" s="10">
        <v>0</v>
      </c>
      <c r="F20" s="10">
        <v>0</v>
      </c>
      <c r="G20" s="10">
        <v>0</v>
      </c>
      <c r="H20" s="10">
        <v>2</v>
      </c>
      <c r="I20" s="10">
        <v>0</v>
      </c>
      <c r="J20" s="10">
        <v>0</v>
      </c>
      <c r="K20" s="10">
        <v>0</v>
      </c>
      <c r="L20" s="10">
        <f>25/25</f>
        <v>1</v>
      </c>
      <c r="M20" s="10">
        <f>17/21</f>
        <v>0.80952380952380953</v>
      </c>
      <c r="N20" s="10">
        <v>1</v>
      </c>
      <c r="O20" s="10">
        <v>1</v>
      </c>
      <c r="P20" s="11">
        <v>248</v>
      </c>
    </row>
    <row r="21" spans="1:16" ht="15" thickBot="1" x14ac:dyDescent="0.35">
      <c r="A21" s="6" t="s">
        <v>35</v>
      </c>
      <c r="B21" s="7">
        <v>28</v>
      </c>
      <c r="C21" s="7">
        <v>5</v>
      </c>
      <c r="D21" s="7">
        <v>21</v>
      </c>
      <c r="E21" s="7">
        <v>1</v>
      </c>
      <c r="F21" s="7">
        <v>0</v>
      </c>
      <c r="G21" s="7">
        <v>1</v>
      </c>
      <c r="H21" s="7">
        <v>0</v>
      </c>
      <c r="I21" s="7">
        <v>0</v>
      </c>
      <c r="J21" s="7">
        <v>0</v>
      </c>
      <c r="K21" s="7">
        <v>0</v>
      </c>
      <c r="L21" s="7">
        <f>25/25</f>
        <v>1</v>
      </c>
      <c r="M21" s="7">
        <f>17/20</f>
        <v>0.85</v>
      </c>
      <c r="N21" s="7">
        <v>2</v>
      </c>
      <c r="O21" s="7">
        <v>0</v>
      </c>
      <c r="P21" s="8">
        <v>248</v>
      </c>
    </row>
    <row r="22" spans="1:16" ht="15" thickBot="1" x14ac:dyDescent="0.35">
      <c r="A22" s="9" t="s">
        <v>36</v>
      </c>
      <c r="B22" s="10">
        <v>24</v>
      </c>
      <c r="C22" s="10">
        <v>5</v>
      </c>
      <c r="D22" s="10">
        <v>19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f>23/23</f>
        <v>1</v>
      </c>
      <c r="M22" s="10">
        <f>25/27</f>
        <v>0.92592592592592593</v>
      </c>
      <c r="N22" s="10">
        <v>1</v>
      </c>
      <c r="O22" s="10">
        <v>1</v>
      </c>
      <c r="P22" s="11">
        <v>246</v>
      </c>
    </row>
    <row r="23" spans="1:16" ht="15" thickBot="1" x14ac:dyDescent="0.35">
      <c r="A23" s="6" t="s">
        <v>37</v>
      </c>
      <c r="B23" s="7">
        <v>23</v>
      </c>
      <c r="C23" s="7">
        <v>5</v>
      </c>
      <c r="D23" s="7">
        <v>16</v>
      </c>
      <c r="E23" s="7">
        <v>0</v>
      </c>
      <c r="F23" s="7">
        <v>0</v>
      </c>
      <c r="G23" s="7">
        <v>0</v>
      </c>
      <c r="H23" s="7">
        <v>2</v>
      </c>
      <c r="I23" s="7">
        <v>0</v>
      </c>
      <c r="J23" s="7">
        <v>0</v>
      </c>
      <c r="K23" s="7">
        <v>0</v>
      </c>
      <c r="L23" s="7">
        <f>16/16</f>
        <v>1</v>
      </c>
      <c r="M23" s="7">
        <f>29/32</f>
        <v>0.90625</v>
      </c>
      <c r="N23" s="7">
        <v>1</v>
      </c>
      <c r="O23" s="7">
        <v>0</v>
      </c>
      <c r="P23" s="8">
        <v>243</v>
      </c>
    </row>
    <row r="24" spans="1:16" ht="15" thickBot="1" x14ac:dyDescent="0.35">
      <c r="A24" s="9" t="s">
        <v>38</v>
      </c>
      <c r="B24" s="10">
        <v>28</v>
      </c>
      <c r="C24" s="10">
        <v>12</v>
      </c>
      <c r="D24" s="10">
        <v>15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f>23/23</f>
        <v>1</v>
      </c>
      <c r="M24" s="10">
        <f>13/19</f>
        <v>0.68421052631578949</v>
      </c>
      <c r="N24" s="10">
        <v>2</v>
      </c>
      <c r="O24" s="10">
        <v>1</v>
      </c>
      <c r="P24" s="11">
        <v>236</v>
      </c>
    </row>
    <row r="25" spans="1:16" ht="15" thickBot="1" x14ac:dyDescent="0.35">
      <c r="A25" s="6" t="s">
        <v>39</v>
      </c>
      <c r="B25" s="7">
        <v>25</v>
      </c>
      <c r="C25" s="7">
        <v>7</v>
      </c>
      <c r="D25" s="7">
        <v>17</v>
      </c>
      <c r="E25" s="7">
        <v>0</v>
      </c>
      <c r="F25" s="7">
        <v>1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f>23/24</f>
        <v>0.95833333333333337</v>
      </c>
      <c r="M25" s="7">
        <f>17/19</f>
        <v>0.89473684210526316</v>
      </c>
      <c r="N25" s="7">
        <v>1</v>
      </c>
      <c r="O25" s="7">
        <v>0</v>
      </c>
      <c r="P25" s="8">
        <v>226</v>
      </c>
    </row>
    <row r="26" spans="1:16" ht="15" thickBot="1" x14ac:dyDescent="0.35">
      <c r="A26" s="9" t="s">
        <v>40</v>
      </c>
      <c r="B26" s="10">
        <v>23</v>
      </c>
      <c r="C26" s="10">
        <v>8</v>
      </c>
      <c r="D26" s="10">
        <v>13</v>
      </c>
      <c r="E26" s="10">
        <v>0</v>
      </c>
      <c r="F26" s="10">
        <v>0</v>
      </c>
      <c r="G26" s="10">
        <v>1</v>
      </c>
      <c r="H26" s="10">
        <v>1</v>
      </c>
      <c r="I26" s="10">
        <v>0</v>
      </c>
      <c r="J26" s="10">
        <v>0</v>
      </c>
      <c r="K26" s="10">
        <v>0</v>
      </c>
      <c r="L26" s="10">
        <f>19/19</f>
        <v>1</v>
      </c>
      <c r="M26" s="10">
        <f>21/23</f>
        <v>0.91304347826086951</v>
      </c>
      <c r="N26" s="10">
        <v>2</v>
      </c>
      <c r="O26" s="10">
        <v>0</v>
      </c>
      <c r="P26" s="11">
        <v>224</v>
      </c>
    </row>
    <row r="27" spans="1:16" ht="15" thickBot="1" x14ac:dyDescent="0.35">
      <c r="A27" s="6" t="s">
        <v>41</v>
      </c>
      <c r="B27" s="7">
        <v>23</v>
      </c>
      <c r="C27" s="7">
        <v>12</v>
      </c>
      <c r="D27" s="7">
        <v>11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f>20/21</f>
        <v>0.95238095238095233</v>
      </c>
      <c r="M27" s="7">
        <f>19/23</f>
        <v>0.82608695652173914</v>
      </c>
      <c r="N27" s="7">
        <v>2</v>
      </c>
      <c r="O27" s="7">
        <v>0</v>
      </c>
      <c r="P27" s="8">
        <v>219</v>
      </c>
    </row>
    <row r="28" spans="1:16" ht="15" thickBot="1" x14ac:dyDescent="0.35">
      <c r="A28" s="9" t="s">
        <v>42</v>
      </c>
      <c r="B28" s="10">
        <v>22</v>
      </c>
      <c r="C28" s="10">
        <v>7</v>
      </c>
      <c r="D28" s="10">
        <v>12</v>
      </c>
      <c r="E28" s="10">
        <v>1</v>
      </c>
      <c r="F28" s="10">
        <v>1</v>
      </c>
      <c r="G28" s="10">
        <v>0</v>
      </c>
      <c r="H28" s="10">
        <v>0</v>
      </c>
      <c r="I28" s="10">
        <v>1</v>
      </c>
      <c r="J28" s="10">
        <v>0</v>
      </c>
      <c r="K28" s="10">
        <v>0</v>
      </c>
      <c r="L28" s="10">
        <f>15/15</f>
        <v>1</v>
      </c>
      <c r="M28" s="10">
        <f>20/20</f>
        <v>1</v>
      </c>
      <c r="N28" s="10">
        <v>5</v>
      </c>
      <c r="O28" s="10">
        <v>1</v>
      </c>
      <c r="P28" s="11">
        <v>219</v>
      </c>
    </row>
    <row r="29" spans="1:16" ht="15" thickBot="1" x14ac:dyDescent="0.35">
      <c r="A29" s="6" t="s">
        <v>43</v>
      </c>
      <c r="B29" s="7">
        <v>24</v>
      </c>
      <c r="C29" s="7">
        <v>7</v>
      </c>
      <c r="D29" s="7">
        <v>16</v>
      </c>
      <c r="E29" s="7">
        <v>0</v>
      </c>
      <c r="F29" s="7">
        <v>0</v>
      </c>
      <c r="G29" s="7">
        <v>1</v>
      </c>
      <c r="H29" s="7">
        <v>0</v>
      </c>
      <c r="I29" s="7">
        <v>0</v>
      </c>
      <c r="J29" s="7">
        <v>0</v>
      </c>
      <c r="K29" s="7">
        <v>0</v>
      </c>
      <c r="L29" s="7">
        <f>16/19</f>
        <v>0.84210526315789469</v>
      </c>
      <c r="M29" s="7">
        <f>18/22</f>
        <v>0.81818181818181823</v>
      </c>
      <c r="N29" s="7">
        <v>1</v>
      </c>
      <c r="O29" s="7">
        <v>0</v>
      </c>
      <c r="P29" s="8">
        <v>216</v>
      </c>
    </row>
    <row r="30" spans="1:16" ht="15" thickBot="1" x14ac:dyDescent="0.35">
      <c r="A30" s="9" t="s">
        <v>44</v>
      </c>
      <c r="B30" s="10">
        <v>20</v>
      </c>
      <c r="C30" s="10">
        <v>8</v>
      </c>
      <c r="D30" s="10">
        <v>10</v>
      </c>
      <c r="E30" s="10">
        <v>0</v>
      </c>
      <c r="F30" s="10">
        <v>0</v>
      </c>
      <c r="G30" s="10">
        <v>2</v>
      </c>
      <c r="H30" s="10">
        <v>0</v>
      </c>
      <c r="I30" s="10">
        <v>0</v>
      </c>
      <c r="J30" s="10">
        <v>0</v>
      </c>
      <c r="K30" s="10">
        <v>0</v>
      </c>
      <c r="L30" s="10">
        <f>18/19</f>
        <v>0.94736842105263153</v>
      </c>
      <c r="M30" s="10">
        <f>16/19</f>
        <v>0.84210526315789469</v>
      </c>
      <c r="N30" s="10">
        <v>0</v>
      </c>
      <c r="O30" s="10">
        <v>0</v>
      </c>
      <c r="P30" s="11">
        <v>186</v>
      </c>
    </row>
    <row r="31" spans="1:16" ht="15" thickBot="1" x14ac:dyDescent="0.35">
      <c r="A31" s="6" t="s">
        <v>45</v>
      </c>
      <c r="B31" s="7">
        <v>15</v>
      </c>
      <c r="C31" s="7">
        <v>4</v>
      </c>
      <c r="D31" s="7">
        <v>7</v>
      </c>
      <c r="E31" s="7">
        <v>0</v>
      </c>
      <c r="F31" s="7">
        <v>2</v>
      </c>
      <c r="G31" s="7">
        <v>1</v>
      </c>
      <c r="H31" s="7">
        <v>1</v>
      </c>
      <c r="I31" s="7">
        <v>0</v>
      </c>
      <c r="J31" s="7">
        <v>0</v>
      </c>
      <c r="K31" s="7">
        <v>0</v>
      </c>
      <c r="L31" s="7">
        <f>14/15</f>
        <v>0.93333333333333335</v>
      </c>
      <c r="M31" s="7">
        <f>21/26</f>
        <v>0.80769230769230771</v>
      </c>
      <c r="N31" s="7">
        <v>0</v>
      </c>
      <c r="O31" s="7">
        <v>0</v>
      </c>
      <c r="P31" s="8">
        <v>167</v>
      </c>
    </row>
    <row r="32" spans="1:16" ht="15" thickBot="1" x14ac:dyDescent="0.35">
      <c r="A32" s="9" t="s">
        <v>46</v>
      </c>
      <c r="B32" s="10">
        <v>17</v>
      </c>
      <c r="C32" s="10">
        <v>4</v>
      </c>
      <c r="D32" s="10">
        <v>13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f>13/14</f>
        <v>0.9285714285714286</v>
      </c>
      <c r="M32" s="10">
        <f>16/21</f>
        <v>0.76190476190476186</v>
      </c>
      <c r="N32" s="10">
        <v>1</v>
      </c>
      <c r="O32" s="10">
        <v>0</v>
      </c>
      <c r="P32" s="11">
        <v>165</v>
      </c>
    </row>
    <row r="33" spans="1:16" ht="15" thickBot="1" x14ac:dyDescent="0.35">
      <c r="A33" s="12" t="s">
        <v>47</v>
      </c>
      <c r="B33" s="13">
        <v>16</v>
      </c>
      <c r="C33" s="13">
        <v>3</v>
      </c>
      <c r="D33" s="13">
        <v>11</v>
      </c>
      <c r="E33" s="13">
        <v>0</v>
      </c>
      <c r="F33" s="13">
        <v>0</v>
      </c>
      <c r="G33" s="13">
        <v>1</v>
      </c>
      <c r="H33" s="13">
        <v>1</v>
      </c>
      <c r="I33" s="13">
        <v>0</v>
      </c>
      <c r="J33" s="13">
        <v>0</v>
      </c>
      <c r="K33" s="13">
        <v>0</v>
      </c>
      <c r="L33" s="13">
        <f>15/15</f>
        <v>1</v>
      </c>
      <c r="M33" s="13">
        <f>18/26</f>
        <v>0.69230769230769229</v>
      </c>
      <c r="N33" s="13">
        <v>0</v>
      </c>
      <c r="O33" s="13">
        <v>0</v>
      </c>
      <c r="P33" s="14">
        <v>165</v>
      </c>
    </row>
  </sheetData>
  <hyperlinks>
    <hyperlink ref="A1" r:id="rId1" tooltip="Team" display="https://www.footballdb.com/statistics/nfl/team-stats/offense-scoring/2025/regular-season?sort=teamname" xr:uid="{28268308-A36B-4D0F-ADD3-29D1A72B408C}"/>
    <hyperlink ref="B1" r:id="rId2" tooltip="Total Touchdowns" display="https://www.footballdb.com/statistics/nfl/team-stats/offense-scoring/2025/regular-season?sort=tottds" xr:uid="{645ABA53-37EA-4AFC-8E46-D5D0E208BC56}"/>
    <hyperlink ref="C1" r:id="rId3" tooltip="Rushing Touchdowns" display="https://www.footballdb.com/statistics/nfl/team-stats/offense-scoring/2025/regular-season?sort=rushtds" xr:uid="{3A8C70A5-D65A-4984-9A07-BA6B07892736}"/>
    <hyperlink ref="D1" r:id="rId4" tooltip="Passing Touchdowns" display="https://www.footballdb.com/statistics/nfl/team-stats/offense-scoring/2025/regular-season?sort=passtds" xr:uid="{0E707954-F1CA-4C94-869A-EAC1B36EFE2E}"/>
    <hyperlink ref="E1" r:id="rId5" tooltip="Kickoff Return Touchdowns" display="https://www.footballdb.com/statistics/nfl/team-stats/offense-scoring/2025/regular-season?sort=krtds" xr:uid="{B595CB8F-7BAE-46FE-8BD1-AF024D3E7A06}"/>
    <hyperlink ref="F1" r:id="rId6" tooltip="Punt Return Touchdowns" display="https://www.footballdb.com/statistics/nfl/team-stats/offense-scoring/2025/regular-season?sort=prtds" xr:uid="{4010E33D-56DE-4CD4-BDD9-69315F659ABD}"/>
    <hyperlink ref="G1" r:id="rId7" tooltip="Interception Return Touchdowns" display="https://www.footballdb.com/statistics/nfl/team-stats/offense-scoring/2025/regular-season?sort=deftds" xr:uid="{FC2D5B63-F920-49A6-AF94-14DBDE6F6625}"/>
    <hyperlink ref="H1" r:id="rId8" tooltip="Fumble Return Touchdowns" display="https://www.footballdb.com/statistics/nfl/team-stats/offense-scoring/2025/regular-season?sort=fumtds" xr:uid="{16CF03BE-552D-4430-B7C3-253B9EE84A9F}"/>
    <hyperlink ref="I1" r:id="rId9" tooltip="Blocked FG Return Touchdowns" display="https://www.footballdb.com/statistics/nfl/team-stats/offense-scoring/2025/regular-season?sort=bktds" xr:uid="{0696B65A-DBA7-4968-BCC4-D35A07554DE6}"/>
    <hyperlink ref="J1" r:id="rId10" tooltip="Blocked Punt Return Touchdowns" display="https://www.footballdb.com/statistics/nfl/team-stats/offense-scoring/2025/regular-season?sort=bptds" xr:uid="{36130E70-10CB-4360-8ABD-28FD0B5601DE}"/>
    <hyperlink ref="K1" r:id="rId11" tooltip="Missed FG Return Touchdowns" display="https://www.footballdb.com/statistics/nfl/team-stats/offense-scoring/2025/regular-season?sort=nrtds" xr:uid="{F1ED70A3-3E98-459B-95C8-73BA670A2855}"/>
    <hyperlink ref="L1" r:id="rId12" tooltip="Points After Touchdown" display="https://www.footballdb.com/statistics/nfl/team-stats/offense-scoring/2025/regular-season?sort=kickxpm" xr:uid="{F85AC8C2-7118-49CC-86AD-6B9BFBEB05D0}"/>
    <hyperlink ref="M1" r:id="rId13" tooltip="Field Goals" display="https://www.footballdb.com/statistics/nfl/team-stats/offense-scoring/2025/regular-season?sort=kickfgm" xr:uid="{7A5004FA-CE8F-47C9-9E5D-81FBA3DA9531}"/>
    <hyperlink ref="N1" r:id="rId14" tooltip="Two-Point Conversions" display="https://www.footballdb.com/statistics/nfl/team-stats/offense-scoring/2025/regular-season?sort=tot2pt" xr:uid="{370C6FEF-80A4-4F47-B6B0-0D329E827022}"/>
    <hyperlink ref="O1" r:id="rId15" tooltip="Safeties" display="https://www.footballdb.com/statistics/nfl/team-stats/offense-scoring/2025/regular-season?sort=safety" xr:uid="{683EF167-E964-4102-B4EC-A74DF8845C15}"/>
    <hyperlink ref="P1" r:id="rId16" tooltip="Total Points" display="https://www.footballdb.com/statistics/nfl/team-stats/offense-scoring/2025/regular-season?sort=totpts" xr:uid="{584A474A-453F-4949-8482-F758B821D6FF}"/>
    <hyperlink ref="A2" r:id="rId17" tooltip="Indianapolis Colts Statistics" display="https://www.footballdb.com/teams/nfl/indianapolis-colts" xr:uid="{94F31AA7-13DD-4BBE-BB46-5AA59C92C8FF}"/>
    <hyperlink ref="A3" r:id="rId18" tooltip="Detroit Lions Statistics" display="https://www.footballdb.com/teams/nfl/detroit-lions" xr:uid="{5D63F2C2-9A43-42D9-95A5-1D7DAD143D71}"/>
    <hyperlink ref="A4" r:id="rId19" tooltip="Seattle Seahawks Statistics" display="https://www.footballdb.com/teams/nfl/seattle-seahawks" xr:uid="{22B87E88-16B4-4F4C-94E9-DD419F98B153}"/>
    <hyperlink ref="A5" r:id="rId20" tooltip="Dallas Cowboys Statistics" display="https://www.footballdb.com/teams/nfl/dallas-cowboys" xr:uid="{24889875-D92B-447C-A851-CEDC34F863F7}"/>
    <hyperlink ref="A6" r:id="rId21" tooltip="New England Patriots Statistics" display="https://www.footballdb.com/teams/nfl/new-england-patriots" xr:uid="{A3F74BDD-C253-4514-BE8F-A07A327DA908}"/>
    <hyperlink ref="A7" r:id="rId22" tooltip="Buffalo Bills Statistics" display="https://www.footballdb.com/teams/nfl/buffalo-bills" xr:uid="{C8875217-2CB7-4560-977C-3CD676AEF442}"/>
    <hyperlink ref="A8" r:id="rId23" tooltip="Los Angeles Rams Statistics" display="https://www.footballdb.com/teams/nfl/los-angeles-rams" xr:uid="{B15C0142-6682-4DC4-A22E-8C35937FB5DD}"/>
    <hyperlink ref="A9" r:id="rId24" tooltip="Chicago Bears Statistics" display="https://www.footballdb.com/teams/nfl/chicago-bears" xr:uid="{95D3DF31-9AD7-46F6-AB44-F065DC9E75A6}"/>
    <hyperlink ref="A10" r:id="rId25" tooltip="San Francisco 49ers Statistics" display="https://www.footballdb.com/teams/nfl/san-francisco-49ers" xr:uid="{B24BA924-FAB6-470F-BF71-27BAF32610F0}"/>
    <hyperlink ref="A11" r:id="rId26" tooltip="Kansas City Chiefs Statistics" display="https://www.footballdb.com/teams/nfl/kansas-city-chiefs" xr:uid="{D7639CEF-675F-461D-A17B-91317DD48242}"/>
    <hyperlink ref="A12" r:id="rId27" tooltip="Baltimore Ravens Statistics" display="https://www.footballdb.com/teams/nfl/baltimore-ravens" xr:uid="{2A26D126-F54A-4592-9C8D-B796A61D7029}"/>
    <hyperlink ref="A13" r:id="rId28" tooltip="Pittsburgh Steelers Statistics" display="https://www.footballdb.com/teams/nfl/pittsburgh-steelers" xr:uid="{EDB7FA4F-267E-43CD-A1CA-05D79BBD5F4F}"/>
    <hyperlink ref="A14" r:id="rId29" tooltip="Jacksonville Jaguars Statistics" display="https://www.footballdb.com/teams/nfl/jacksonville-jaguars" xr:uid="{497AEFED-B34A-4C95-AEB3-F3AF4B970285}"/>
    <hyperlink ref="A15" r:id="rId30" tooltip="New York Giants Statistics" display="https://www.footballdb.com/teams/nfl/new-york-giants" xr:uid="{477748D4-3B7C-464B-9E0F-3DC968A07F14}"/>
    <hyperlink ref="A16" r:id="rId31" tooltip="Green Bay Packers Statistics" display="https://www.footballdb.com/teams/nfl/green-bay-packers" xr:uid="{D91A73A6-95A8-44C0-BA4F-4C480132D146}"/>
    <hyperlink ref="A17" r:id="rId32" tooltip="Tampa Bay Buccaneers Statistics" display="https://www.footballdb.com/teams/nfl/tampa-bay-buccaneers" xr:uid="{CCA0AD52-E58F-48D6-BC23-F5A92E3DCD6D}"/>
    <hyperlink ref="A18" r:id="rId33" tooltip="Denver Broncos Statistics" display="https://www.footballdb.com/teams/nfl/denver-broncos" xr:uid="{ABEC4BDD-D656-42A5-BF87-9337B3E0EB5D}"/>
    <hyperlink ref="A19" r:id="rId34" tooltip="Philadelphia Eagles Statistics" display="https://www.footballdb.com/teams/nfl/philadelphia-eagles" xr:uid="{5A22AA0D-39BB-4399-8FD1-7DBA3D1A6E22}"/>
    <hyperlink ref="A20" r:id="rId35" tooltip="Arizona Cardinals Statistics" display="https://www.footballdb.com/teams/nfl/arizona-cardinals" xr:uid="{FF584230-CCAB-494A-BEBB-731CD88185FF}"/>
    <hyperlink ref="A21" r:id="rId36" tooltip="Cincinnati Bengals Statistics" display="https://www.footballdb.com/teams/nfl/cincinnati-bengals" xr:uid="{D1EBEEB2-56FC-429C-9566-3FF2C7E0C788}"/>
    <hyperlink ref="A22" r:id="rId37" tooltip="Los Angeles Chargers Statistics" display="https://www.footballdb.com/teams/nfl/los-angeles-chargers" xr:uid="{C3B64953-059D-4F1D-B1C4-0B487DFD5BB1}"/>
    <hyperlink ref="A23" r:id="rId38" tooltip="Houston Texans Statistics" display="https://www.footballdb.com/teams/nfl/houston-texans" xr:uid="{493FFF0C-29C0-4C5D-8D36-C7799286E79E}"/>
    <hyperlink ref="A24" r:id="rId39" tooltip="Washington Commanders Statistics" display="https://www.footballdb.com/teams/nfl/washington-commanders" xr:uid="{958670E9-57E3-46F8-BDCC-D13DFA89BBFA}"/>
    <hyperlink ref="A25" r:id="rId40" tooltip="Miami Dolphins Statistics" display="https://www.footballdb.com/teams/nfl/miami-dolphins" xr:uid="{076F295F-E56B-4DE0-B986-C3C00A1C9855}"/>
    <hyperlink ref="A26" r:id="rId41" tooltip="Minnesota Vikings Statistics" display="https://www.footballdb.com/teams/nfl/minnesota-vikings" xr:uid="{54D96751-0CC4-4035-902E-B0227E1D140E}"/>
    <hyperlink ref="A27" r:id="rId42" tooltip="Atlanta Falcons Statistics" display="https://www.footballdb.com/teams/nfl/atlanta-falcons" xr:uid="{C0B6C8D1-C4E2-48D7-8FF4-FD63813F9251}"/>
    <hyperlink ref="A28" r:id="rId43" tooltip="New York Jets Statistics" display="https://www.footballdb.com/teams/nfl/new-york-jets" xr:uid="{E786B75D-F276-4C34-8525-131347209B55}"/>
    <hyperlink ref="A29" r:id="rId44" tooltip="Carolina Panthers Statistics" display="https://www.footballdb.com/teams/nfl/carolina-panthers" xr:uid="{A9CF8E80-DBFB-4D3D-9E53-3B568EC1EBDC}"/>
    <hyperlink ref="A30" r:id="rId45" tooltip="Cleveland Browns Statistics" display="https://www.footballdb.com/teams/nfl/cleveland-browns" xr:uid="{DEFD571E-16CB-4B6F-9C81-21C0EA23AE06}"/>
    <hyperlink ref="A31" r:id="rId46" tooltip="Tennessee Titans Statistics" display="https://www.footballdb.com/teams/nfl/tennessee-titans" xr:uid="{73CA2F3F-8E19-43A8-BAAD-79F14067F395}"/>
    <hyperlink ref="A32" r:id="rId47" tooltip="Las Vegas Raiders Statistics" display="https://www.footballdb.com/teams/nfl/las-vegas-raiders" xr:uid="{B5B9DDB5-A008-41B2-8143-8CEFDE677988}"/>
    <hyperlink ref="A33" r:id="rId48" tooltip="New Orleans Saints Statistics" display="https://www.footballdb.com/teams/nfl/new-orleans-saints" xr:uid="{38B1490C-CCDD-4901-8EDC-33E787F098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2025-11-25T15:55:09Z</dcterms:modified>
</cp:coreProperties>
</file>